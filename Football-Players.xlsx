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D:\Education\Excel\Football-Players\"/>
    </mc:Choice>
  </mc:AlternateContent>
  <xr:revisionPtr revIDLastSave="0" documentId="13_ncr:1_{102026AF-15A0-4F6C-A608-192417EC8CA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layers" sheetId="2" r:id="rId1"/>
    <sheet name="pivot tables" sheetId="3" r:id="rId2"/>
    <sheet name="kpi" sheetId="5" r:id="rId3"/>
    <sheet name="dashboard" sheetId="4" r:id="rId4"/>
  </sheets>
  <definedNames>
    <definedName name="ExternalData_1" localSheetId="0" hidden="1">players!$A$1:$V$501</definedName>
    <definedName name="Роздільник_Age_Categories">#N/A</definedName>
    <definedName name="Роздільник_Position_Category">#N/A</definedName>
    <definedName name="Роздільник_Price_Categor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 a="1"/>
  <c r="D2" i="2" s="1"/>
  <c r="D3" i="2" a="1"/>
  <c r="D3" i="2" s="1"/>
  <c r="D4" i="2" a="1"/>
  <c r="D4" i="2" s="1"/>
  <c r="D5" i="2" a="1"/>
  <c r="D5" i="2" s="1"/>
  <c r="D6" i="2" a="1"/>
  <c r="D6" i="2" s="1"/>
  <c r="D7" i="2" a="1"/>
  <c r="D7" i="2" s="1"/>
  <c r="D8" i="2" a="1"/>
  <c r="D8" i="2" s="1"/>
  <c r="D9" i="2" a="1"/>
  <c r="D9" i="2" s="1"/>
  <c r="D10" i="2" a="1"/>
  <c r="D10" i="2" s="1"/>
  <c r="D11" i="2" a="1"/>
  <c r="D11" i="2" s="1"/>
  <c r="D12" i="2" a="1"/>
  <c r="D12" i="2" s="1"/>
  <c r="D13" i="2" a="1"/>
  <c r="D13" i="2" s="1"/>
  <c r="D14" i="2" a="1"/>
  <c r="D14" i="2" s="1"/>
  <c r="D15" i="2" a="1"/>
  <c r="D15" i="2" s="1"/>
  <c r="D16" i="2" a="1"/>
  <c r="D16" i="2" s="1"/>
  <c r="D17" i="2" a="1"/>
  <c r="D17" i="2" s="1"/>
  <c r="D18" i="2" a="1"/>
  <c r="D18" i="2" s="1"/>
  <c r="D19" i="2" a="1"/>
  <c r="D19" i="2" s="1"/>
  <c r="D20" i="2" a="1"/>
  <c r="D20" i="2" s="1"/>
  <c r="D21" i="2" a="1"/>
  <c r="D21" i="2" s="1"/>
  <c r="D22" i="2" a="1"/>
  <c r="D22" i="2" s="1"/>
  <c r="D23" i="2" a="1"/>
  <c r="D23" i="2" s="1"/>
  <c r="D24" i="2" a="1"/>
  <c r="D24" i="2" s="1"/>
  <c r="D25" i="2" a="1"/>
  <c r="D25" i="2" s="1"/>
  <c r="D26" i="2" a="1"/>
  <c r="D26" i="2" s="1"/>
  <c r="D27" i="2" a="1"/>
  <c r="D27" i="2" s="1"/>
  <c r="D28" i="2" a="1"/>
  <c r="D28" i="2" s="1"/>
  <c r="D29" i="2" a="1"/>
  <c r="D29" i="2" s="1"/>
  <c r="D30" i="2" a="1"/>
  <c r="D30" i="2" s="1"/>
  <c r="D31" i="2" a="1"/>
  <c r="D31" i="2" s="1"/>
  <c r="D32" i="2" a="1"/>
  <c r="D32" i="2" s="1"/>
  <c r="D33" i="2" a="1"/>
  <c r="D33" i="2" s="1"/>
  <c r="D34" i="2" a="1"/>
  <c r="D34" i="2" s="1"/>
  <c r="D35" i="2" a="1"/>
  <c r="D35" i="2" s="1"/>
  <c r="D36" i="2" a="1"/>
  <c r="D36" i="2" s="1"/>
  <c r="D37" i="2" a="1"/>
  <c r="D37" i="2" s="1"/>
  <c r="D38" i="2" a="1"/>
  <c r="D38" i="2" s="1"/>
  <c r="D39" i="2" a="1"/>
  <c r="D39" i="2" s="1"/>
  <c r="D40" i="2" a="1"/>
  <c r="D40" i="2" s="1"/>
  <c r="D41" i="2" a="1"/>
  <c r="D41" i="2" s="1"/>
  <c r="D42" i="2" a="1"/>
  <c r="D42" i="2" s="1"/>
  <c r="D43" i="2" a="1"/>
  <c r="D43" i="2" s="1"/>
  <c r="D44" i="2" a="1"/>
  <c r="D44" i="2" s="1"/>
  <c r="D45" i="2" a="1"/>
  <c r="D45" i="2" s="1"/>
  <c r="D46" i="2" a="1"/>
  <c r="D46" i="2" s="1"/>
  <c r="D47" i="2" a="1"/>
  <c r="D47" i="2" s="1"/>
  <c r="D48" i="2" a="1"/>
  <c r="D48" i="2" s="1"/>
  <c r="D49" i="2" a="1"/>
  <c r="D49" i="2" s="1"/>
  <c r="D50" i="2" a="1"/>
  <c r="D50" i="2" s="1"/>
  <c r="D51" i="2" a="1"/>
  <c r="D51" i="2" s="1"/>
  <c r="D52" i="2" a="1"/>
  <c r="D52" i="2" s="1"/>
  <c r="D53" i="2" a="1"/>
  <c r="D53" i="2" s="1"/>
  <c r="D54" i="2" a="1"/>
  <c r="D54" i="2" s="1"/>
  <c r="D55" i="2" a="1"/>
  <c r="D55" i="2" s="1"/>
  <c r="D56" i="2" a="1"/>
  <c r="D56" i="2" s="1"/>
  <c r="D57" i="2" a="1"/>
  <c r="D57" i="2" s="1"/>
  <c r="D58" i="2" a="1"/>
  <c r="D58" i="2" s="1"/>
  <c r="D59" i="2" a="1"/>
  <c r="D59" i="2" s="1"/>
  <c r="D60" i="2" a="1"/>
  <c r="D60" i="2" s="1"/>
  <c r="D61" i="2" a="1"/>
  <c r="D61" i="2" s="1"/>
  <c r="D62" i="2" a="1"/>
  <c r="D62" i="2" s="1"/>
  <c r="D63" i="2" a="1"/>
  <c r="D63" i="2" s="1"/>
  <c r="D64" i="2" a="1"/>
  <c r="D64" i="2" s="1"/>
  <c r="D65" i="2" a="1"/>
  <c r="D65" i="2" s="1"/>
  <c r="D66" i="2" a="1"/>
  <c r="D66" i="2" s="1"/>
  <c r="D67" i="2" a="1"/>
  <c r="D67" i="2" s="1"/>
  <c r="D68" i="2" a="1"/>
  <c r="D68" i="2" s="1"/>
  <c r="D69" i="2" a="1"/>
  <c r="D69" i="2" s="1"/>
  <c r="D70" i="2" a="1"/>
  <c r="D70" i="2" s="1"/>
  <c r="D71" i="2" a="1"/>
  <c r="D71" i="2" s="1"/>
  <c r="D72" i="2" a="1"/>
  <c r="D72" i="2" s="1"/>
  <c r="D73" i="2" a="1"/>
  <c r="D73" i="2" s="1"/>
  <c r="D74" i="2" a="1"/>
  <c r="D74" i="2" s="1"/>
  <c r="D75" i="2" a="1"/>
  <c r="D75" i="2" s="1"/>
  <c r="D76" i="2" a="1"/>
  <c r="D76" i="2" s="1"/>
  <c r="D77" i="2" a="1"/>
  <c r="D77" i="2" s="1"/>
  <c r="D78" i="2" a="1"/>
  <c r="D78" i="2" s="1"/>
  <c r="D79" i="2" a="1"/>
  <c r="D79" i="2" s="1"/>
  <c r="D80" i="2" a="1"/>
  <c r="D80" i="2" s="1"/>
  <c r="D81" i="2" a="1"/>
  <c r="D81" i="2" s="1"/>
  <c r="D82" i="2" a="1"/>
  <c r="D82" i="2" s="1"/>
  <c r="D83" i="2" a="1"/>
  <c r="D83" i="2" s="1"/>
  <c r="D84" i="2" a="1"/>
  <c r="D84" i="2" s="1"/>
  <c r="D85" i="2" a="1"/>
  <c r="D85" i="2" s="1"/>
  <c r="D86" i="2" a="1"/>
  <c r="D86" i="2" s="1"/>
  <c r="D87" i="2" a="1"/>
  <c r="D87" i="2" s="1"/>
  <c r="D88" i="2" a="1"/>
  <c r="D88" i="2" s="1"/>
  <c r="D89" i="2" a="1"/>
  <c r="D89" i="2" s="1"/>
  <c r="D90" i="2" a="1"/>
  <c r="D90" i="2" s="1"/>
  <c r="D91" i="2" a="1"/>
  <c r="D91" i="2" s="1"/>
  <c r="D92" i="2" a="1"/>
  <c r="D92" i="2" s="1"/>
  <c r="D93" i="2" a="1"/>
  <c r="D93" i="2" s="1"/>
  <c r="D94" i="2" a="1"/>
  <c r="D94" i="2" s="1"/>
  <c r="D95" i="2" a="1"/>
  <c r="D95" i="2" s="1"/>
  <c r="D96" i="2" a="1"/>
  <c r="D96" i="2" s="1"/>
  <c r="D97" i="2" a="1"/>
  <c r="D97" i="2" s="1"/>
  <c r="D98" i="2" a="1"/>
  <c r="D98" i="2" s="1"/>
  <c r="D99" i="2" a="1"/>
  <c r="D99" i="2" s="1"/>
  <c r="D100" i="2" a="1"/>
  <c r="D100" i="2" s="1"/>
  <c r="D101" i="2" a="1"/>
  <c r="D101" i="2" s="1"/>
  <c r="D102" i="2" a="1"/>
  <c r="D102" i="2" s="1"/>
  <c r="D103" i="2" a="1"/>
  <c r="D103" i="2" s="1"/>
  <c r="D104" i="2" a="1"/>
  <c r="D104" i="2" s="1"/>
  <c r="D105" i="2" a="1"/>
  <c r="D105" i="2" s="1"/>
  <c r="D106" i="2" a="1"/>
  <c r="D106" i="2" s="1"/>
  <c r="D107" i="2" a="1"/>
  <c r="D107" i="2" s="1"/>
  <c r="D108" i="2" a="1"/>
  <c r="D108" i="2" s="1"/>
  <c r="D109" i="2" a="1"/>
  <c r="D109" i="2" s="1"/>
  <c r="D110" i="2" a="1"/>
  <c r="D110" i="2" s="1"/>
  <c r="D111" i="2" a="1"/>
  <c r="D111" i="2" s="1"/>
  <c r="D112" i="2" a="1"/>
  <c r="D112" i="2" s="1"/>
  <c r="D113" i="2" a="1"/>
  <c r="D113" i="2" s="1"/>
  <c r="D114" i="2" a="1"/>
  <c r="D114" i="2" s="1"/>
  <c r="D115" i="2" a="1"/>
  <c r="D115" i="2" s="1"/>
  <c r="D116" i="2" a="1"/>
  <c r="D116" i="2" s="1"/>
  <c r="D117" i="2" a="1"/>
  <c r="D117" i="2" s="1"/>
  <c r="D118" i="2" a="1"/>
  <c r="D118" i="2" s="1"/>
  <c r="D119" i="2" a="1"/>
  <c r="D119" i="2" s="1"/>
  <c r="D120" i="2" a="1"/>
  <c r="D120" i="2" s="1"/>
  <c r="D121" i="2" a="1"/>
  <c r="D121" i="2" s="1"/>
  <c r="D122" i="2" a="1"/>
  <c r="D122" i="2" s="1"/>
  <c r="D123" i="2" a="1"/>
  <c r="D123" i="2" s="1"/>
  <c r="D124" i="2" a="1"/>
  <c r="D124" i="2" s="1"/>
  <c r="D125" i="2" a="1"/>
  <c r="D125" i="2" s="1"/>
  <c r="D126" i="2" a="1"/>
  <c r="D126" i="2" s="1"/>
  <c r="D127" i="2" a="1"/>
  <c r="D127" i="2" s="1"/>
  <c r="D128" i="2" a="1"/>
  <c r="D128" i="2" s="1"/>
  <c r="D129" i="2" a="1"/>
  <c r="D129" i="2" s="1"/>
  <c r="D130" i="2" a="1"/>
  <c r="D130" i="2" s="1"/>
  <c r="D131" i="2" a="1"/>
  <c r="D131" i="2" s="1"/>
  <c r="D132" i="2" a="1"/>
  <c r="D132" i="2" s="1"/>
  <c r="D133" i="2" a="1"/>
  <c r="D133" i="2" s="1"/>
  <c r="D134" i="2" a="1"/>
  <c r="D134" i="2" s="1"/>
  <c r="D135" i="2" a="1"/>
  <c r="D135" i="2" s="1"/>
  <c r="D136" i="2" a="1"/>
  <c r="D136" i="2" s="1"/>
  <c r="D137" i="2" a="1"/>
  <c r="D137" i="2" s="1"/>
  <c r="D138" i="2" a="1"/>
  <c r="D138" i="2" s="1"/>
  <c r="D139" i="2" a="1"/>
  <c r="D139" i="2" s="1"/>
  <c r="D140" i="2" a="1"/>
  <c r="D140" i="2" s="1"/>
  <c r="D141" i="2" a="1"/>
  <c r="D141" i="2" s="1"/>
  <c r="D142" i="2" a="1"/>
  <c r="D142" i="2" s="1"/>
  <c r="D143" i="2" a="1"/>
  <c r="D143" i="2" s="1"/>
  <c r="D144" i="2" a="1"/>
  <c r="D144" i="2" s="1"/>
  <c r="D145" i="2" a="1"/>
  <c r="D145" i="2" s="1"/>
  <c r="D146" i="2" a="1"/>
  <c r="D146" i="2" s="1"/>
  <c r="D147" i="2" a="1"/>
  <c r="D147" i="2" s="1"/>
  <c r="D148" i="2" a="1"/>
  <c r="D148" i="2" s="1"/>
  <c r="D149" i="2" a="1"/>
  <c r="D149" i="2" s="1"/>
  <c r="D150" i="2" a="1"/>
  <c r="D150" i="2" s="1"/>
  <c r="D151" i="2" a="1"/>
  <c r="D151" i="2" s="1"/>
  <c r="D152" i="2" a="1"/>
  <c r="D152" i="2" s="1"/>
  <c r="D153" i="2" a="1"/>
  <c r="D153" i="2" s="1"/>
  <c r="D154" i="2" a="1"/>
  <c r="D154" i="2" s="1"/>
  <c r="D155" i="2" a="1"/>
  <c r="D155" i="2" s="1"/>
  <c r="D156" i="2" a="1"/>
  <c r="D156" i="2" s="1"/>
  <c r="D157" i="2" a="1"/>
  <c r="D157" i="2" s="1"/>
  <c r="D158" i="2" a="1"/>
  <c r="D158" i="2" s="1"/>
  <c r="D159" i="2" a="1"/>
  <c r="D159" i="2" s="1"/>
  <c r="D160" i="2" a="1"/>
  <c r="D160" i="2" s="1"/>
  <c r="D161" i="2" a="1"/>
  <c r="D161" i="2" s="1"/>
  <c r="D162" i="2" a="1"/>
  <c r="D162" i="2" s="1"/>
  <c r="D163" i="2" a="1"/>
  <c r="D163" i="2" s="1"/>
  <c r="D164" i="2" a="1"/>
  <c r="D164" i="2" s="1"/>
  <c r="D165" i="2" a="1"/>
  <c r="D165" i="2" s="1"/>
  <c r="D166" i="2" a="1"/>
  <c r="D166" i="2" s="1"/>
  <c r="D167" i="2" a="1"/>
  <c r="D167" i="2" s="1"/>
  <c r="D168" i="2" a="1"/>
  <c r="D168" i="2" s="1"/>
  <c r="D169" i="2" a="1"/>
  <c r="D169" i="2" s="1"/>
  <c r="D170" i="2" a="1"/>
  <c r="D170" i="2" s="1"/>
  <c r="D171" i="2" a="1"/>
  <c r="D171" i="2" s="1"/>
  <c r="D172" i="2" a="1"/>
  <c r="D172" i="2" s="1"/>
  <c r="D173" i="2" a="1"/>
  <c r="D173" i="2" s="1"/>
  <c r="D174" i="2" a="1"/>
  <c r="D174" i="2" s="1"/>
  <c r="D175" i="2" a="1"/>
  <c r="D175" i="2" s="1"/>
  <c r="D176" i="2" a="1"/>
  <c r="D176" i="2" s="1"/>
  <c r="D177" i="2" a="1"/>
  <c r="D177" i="2" s="1"/>
  <c r="D178" i="2" a="1"/>
  <c r="D178" i="2" s="1"/>
  <c r="D179" i="2" a="1"/>
  <c r="D179" i="2" s="1"/>
  <c r="D180" i="2" a="1"/>
  <c r="D180" i="2" s="1"/>
  <c r="D181" i="2" a="1"/>
  <c r="D181" i="2" s="1"/>
  <c r="D182" i="2" a="1"/>
  <c r="D182" i="2" s="1"/>
  <c r="D183" i="2" a="1"/>
  <c r="D183" i="2" s="1"/>
  <c r="D184" i="2" a="1"/>
  <c r="D184" i="2" s="1"/>
  <c r="D185" i="2" a="1"/>
  <c r="D185" i="2" s="1"/>
  <c r="D186" i="2" a="1"/>
  <c r="D186" i="2" s="1"/>
  <c r="D187" i="2" a="1"/>
  <c r="D187" i="2" s="1"/>
  <c r="D188" i="2" a="1"/>
  <c r="D188" i="2" s="1"/>
  <c r="D189" i="2" a="1"/>
  <c r="D189" i="2" s="1"/>
  <c r="D190" i="2" a="1"/>
  <c r="D190" i="2" s="1"/>
  <c r="D191" i="2" a="1"/>
  <c r="D191" i="2" s="1"/>
  <c r="D192" i="2" a="1"/>
  <c r="D192" i="2" s="1"/>
  <c r="D193" i="2" a="1"/>
  <c r="D193" i="2" s="1"/>
  <c r="D194" i="2" a="1"/>
  <c r="D194" i="2" s="1"/>
  <c r="D195" i="2" a="1"/>
  <c r="D195" i="2" s="1"/>
  <c r="D196" i="2" a="1"/>
  <c r="D196" i="2" s="1"/>
  <c r="D197" i="2" a="1"/>
  <c r="D197" i="2" s="1"/>
  <c r="D198" i="2" a="1"/>
  <c r="D198" i="2" s="1"/>
  <c r="D199" i="2" a="1"/>
  <c r="D199" i="2" s="1"/>
  <c r="D200" i="2" a="1"/>
  <c r="D200" i="2" s="1"/>
  <c r="D201" i="2" a="1"/>
  <c r="D201" i="2" s="1"/>
  <c r="D202" i="2" a="1"/>
  <c r="D202" i="2" s="1"/>
  <c r="D203" i="2" a="1"/>
  <c r="D203" i="2" s="1"/>
  <c r="D204" i="2" a="1"/>
  <c r="D204" i="2" s="1"/>
  <c r="D205" i="2" a="1"/>
  <c r="D205" i="2" s="1"/>
  <c r="D206" i="2" a="1"/>
  <c r="D206" i="2" s="1"/>
  <c r="D207" i="2" a="1"/>
  <c r="D207" i="2" s="1"/>
  <c r="D208" i="2" a="1"/>
  <c r="D208" i="2" s="1"/>
  <c r="D209" i="2" a="1"/>
  <c r="D209" i="2" s="1"/>
  <c r="D210" i="2" a="1"/>
  <c r="D210" i="2" s="1"/>
  <c r="D211" i="2" a="1"/>
  <c r="D211" i="2" s="1"/>
  <c r="D212" i="2" a="1"/>
  <c r="D212" i="2" s="1"/>
  <c r="D213" i="2" a="1"/>
  <c r="D213" i="2" s="1"/>
  <c r="D214" i="2" a="1"/>
  <c r="D214" i="2" s="1"/>
  <c r="D215" i="2" a="1"/>
  <c r="D215" i="2" s="1"/>
  <c r="D216" i="2" a="1"/>
  <c r="D216" i="2" s="1"/>
  <c r="D217" i="2" a="1"/>
  <c r="D217" i="2" s="1"/>
  <c r="D218" i="2" a="1"/>
  <c r="D218" i="2" s="1"/>
  <c r="D219" i="2" a="1"/>
  <c r="D219" i="2" s="1"/>
  <c r="D220" i="2" a="1"/>
  <c r="D220" i="2" s="1"/>
  <c r="D221" i="2" a="1"/>
  <c r="D221" i="2" s="1"/>
  <c r="D222" i="2" a="1"/>
  <c r="D222" i="2" s="1"/>
  <c r="D223" i="2" a="1"/>
  <c r="D223" i="2" s="1"/>
  <c r="D224" i="2" a="1"/>
  <c r="D224" i="2" s="1"/>
  <c r="D225" i="2" a="1"/>
  <c r="D225" i="2" s="1"/>
  <c r="D226" i="2" a="1"/>
  <c r="D226" i="2" s="1"/>
  <c r="D227" i="2" a="1"/>
  <c r="D227" i="2" s="1"/>
  <c r="D228" i="2" a="1"/>
  <c r="D228" i="2" s="1"/>
  <c r="D229" i="2" a="1"/>
  <c r="D229" i="2" s="1"/>
  <c r="D230" i="2" a="1"/>
  <c r="D230" i="2" s="1"/>
  <c r="D231" i="2" a="1"/>
  <c r="D231" i="2" s="1"/>
  <c r="D232" i="2" a="1"/>
  <c r="D232" i="2" s="1"/>
  <c r="D233" i="2" a="1"/>
  <c r="D233" i="2" s="1"/>
  <c r="D234" i="2" a="1"/>
  <c r="D234" i="2" s="1"/>
  <c r="D235" i="2" a="1"/>
  <c r="D235" i="2" s="1"/>
  <c r="D236" i="2" a="1"/>
  <c r="D236" i="2" s="1"/>
  <c r="D237" i="2" a="1"/>
  <c r="D237" i="2" s="1"/>
  <c r="D238" i="2" a="1"/>
  <c r="D238" i="2" s="1"/>
  <c r="D239" i="2" a="1"/>
  <c r="D239" i="2" s="1"/>
  <c r="D240" i="2" a="1"/>
  <c r="D240" i="2" s="1"/>
  <c r="D241" i="2" a="1"/>
  <c r="D241" i="2" s="1"/>
  <c r="D242" i="2" a="1"/>
  <c r="D242" i="2" s="1"/>
  <c r="D243" i="2" a="1"/>
  <c r="D243" i="2" s="1"/>
  <c r="D244" i="2" a="1"/>
  <c r="D244" i="2" s="1"/>
  <c r="D245" i="2" a="1"/>
  <c r="D245" i="2" s="1"/>
  <c r="D246" i="2" a="1"/>
  <c r="D246" i="2" s="1"/>
  <c r="D247" i="2" a="1"/>
  <c r="D247" i="2" s="1"/>
  <c r="D248" i="2" a="1"/>
  <c r="D248" i="2" s="1"/>
  <c r="D249" i="2" a="1"/>
  <c r="D249" i="2" s="1"/>
  <c r="D250" i="2" a="1"/>
  <c r="D250" i="2" s="1"/>
  <c r="D251" i="2" a="1"/>
  <c r="D251" i="2" s="1"/>
  <c r="D252" i="2" a="1"/>
  <c r="D252" i="2" s="1"/>
  <c r="D253" i="2" a="1"/>
  <c r="D253" i="2" s="1"/>
  <c r="D254" i="2" a="1"/>
  <c r="D254" i="2" s="1"/>
  <c r="D255" i="2" a="1"/>
  <c r="D255" i="2" s="1"/>
  <c r="D256" i="2" a="1"/>
  <c r="D256" i="2" s="1"/>
  <c r="D257" i="2" a="1"/>
  <c r="D257" i="2" s="1"/>
  <c r="D258" i="2" a="1"/>
  <c r="D258" i="2" s="1"/>
  <c r="D259" i="2" a="1"/>
  <c r="D259" i="2" s="1"/>
  <c r="D260" i="2" a="1"/>
  <c r="D260" i="2" s="1"/>
  <c r="D261" i="2" a="1"/>
  <c r="D261" i="2" s="1"/>
  <c r="D262" i="2" a="1"/>
  <c r="D262" i="2" s="1"/>
  <c r="D263" i="2" a="1"/>
  <c r="D263" i="2" s="1"/>
  <c r="D264" i="2" a="1"/>
  <c r="D264" i="2" s="1"/>
  <c r="D265" i="2" a="1"/>
  <c r="D265" i="2" s="1"/>
  <c r="D266" i="2" a="1"/>
  <c r="D266" i="2" s="1"/>
  <c r="D267" i="2" a="1"/>
  <c r="D267" i="2" s="1"/>
  <c r="D268" i="2" a="1"/>
  <c r="D268" i="2" s="1"/>
  <c r="D269" i="2" a="1"/>
  <c r="D269" i="2" s="1"/>
  <c r="D270" i="2" a="1"/>
  <c r="D270" i="2" s="1"/>
  <c r="D271" i="2" a="1"/>
  <c r="D271" i="2" s="1"/>
  <c r="D272" i="2" a="1"/>
  <c r="D272" i="2" s="1"/>
  <c r="D273" i="2" a="1"/>
  <c r="D273" i="2" s="1"/>
  <c r="D274" i="2" a="1"/>
  <c r="D274" i="2" s="1"/>
  <c r="D275" i="2" a="1"/>
  <c r="D275" i="2" s="1"/>
  <c r="D276" i="2" a="1"/>
  <c r="D276" i="2" s="1"/>
  <c r="D277" i="2" a="1"/>
  <c r="D277" i="2" s="1"/>
  <c r="D278" i="2" a="1"/>
  <c r="D278" i="2" s="1"/>
  <c r="D279" i="2" a="1"/>
  <c r="D279" i="2" s="1"/>
  <c r="D280" i="2" a="1"/>
  <c r="D280" i="2" s="1"/>
  <c r="D281" i="2" a="1"/>
  <c r="D281" i="2" s="1"/>
  <c r="D282" i="2" a="1"/>
  <c r="D282" i="2" s="1"/>
  <c r="D283" i="2" a="1"/>
  <c r="D283" i="2" s="1"/>
  <c r="D284" i="2" a="1"/>
  <c r="D284" i="2" s="1"/>
  <c r="D285" i="2" a="1"/>
  <c r="D285" i="2" s="1"/>
  <c r="D286" i="2" a="1"/>
  <c r="D286" i="2" s="1"/>
  <c r="D287" i="2" a="1"/>
  <c r="D287" i="2" s="1"/>
  <c r="D288" i="2" a="1"/>
  <c r="D288" i="2" s="1"/>
  <c r="D289" i="2" a="1"/>
  <c r="D289" i="2" s="1"/>
  <c r="D290" i="2" a="1"/>
  <c r="D290" i="2" s="1"/>
  <c r="D291" i="2" a="1"/>
  <c r="D291" i="2" s="1"/>
  <c r="D292" i="2" a="1"/>
  <c r="D292" i="2" s="1"/>
  <c r="D293" i="2" a="1"/>
  <c r="D293" i="2" s="1"/>
  <c r="D294" i="2" a="1"/>
  <c r="D294" i="2" s="1"/>
  <c r="D295" i="2" a="1"/>
  <c r="D295" i="2" s="1"/>
  <c r="D296" i="2" a="1"/>
  <c r="D296" i="2" s="1"/>
  <c r="D297" i="2" a="1"/>
  <c r="D297" i="2" s="1"/>
  <c r="D298" i="2" a="1"/>
  <c r="D298" i="2" s="1"/>
  <c r="D299" i="2" a="1"/>
  <c r="D299" i="2" s="1"/>
  <c r="D300" i="2" a="1"/>
  <c r="D300" i="2" s="1"/>
  <c r="D301" i="2" a="1"/>
  <c r="D301" i="2" s="1"/>
  <c r="D302" i="2" a="1"/>
  <c r="D302" i="2" s="1"/>
  <c r="D303" i="2" a="1"/>
  <c r="D303" i="2" s="1"/>
  <c r="D304" i="2" a="1"/>
  <c r="D304" i="2" s="1"/>
  <c r="D305" i="2" a="1"/>
  <c r="D305" i="2" s="1"/>
  <c r="D306" i="2" a="1"/>
  <c r="D306" i="2" s="1"/>
  <c r="D307" i="2" a="1"/>
  <c r="D307" i="2" s="1"/>
  <c r="D308" i="2" a="1"/>
  <c r="D308" i="2" s="1"/>
  <c r="D309" i="2" a="1"/>
  <c r="D309" i="2" s="1"/>
  <c r="D310" i="2" a="1"/>
  <c r="D310" i="2" s="1"/>
  <c r="D311" i="2" a="1"/>
  <c r="D311" i="2" s="1"/>
  <c r="D312" i="2" a="1"/>
  <c r="D312" i="2" s="1"/>
  <c r="D313" i="2" a="1"/>
  <c r="D313" i="2" s="1"/>
  <c r="D314" i="2" a="1"/>
  <c r="D314" i="2" s="1"/>
  <c r="D315" i="2" a="1"/>
  <c r="D315" i="2" s="1"/>
  <c r="D316" i="2" a="1"/>
  <c r="D316" i="2" s="1"/>
  <c r="D317" i="2" a="1"/>
  <c r="D317" i="2" s="1"/>
  <c r="D318" i="2" a="1"/>
  <c r="D318" i="2" s="1"/>
  <c r="D319" i="2" a="1"/>
  <c r="D319" i="2" s="1"/>
  <c r="D320" i="2" a="1"/>
  <c r="D320" i="2" s="1"/>
  <c r="D321" i="2" a="1"/>
  <c r="D321" i="2" s="1"/>
  <c r="D322" i="2" a="1"/>
  <c r="D322" i="2" s="1"/>
  <c r="D323" i="2" a="1"/>
  <c r="D323" i="2" s="1"/>
  <c r="D324" i="2" a="1"/>
  <c r="D324" i="2" s="1"/>
  <c r="D325" i="2" a="1"/>
  <c r="D325" i="2" s="1"/>
  <c r="D326" i="2" a="1"/>
  <c r="D326" i="2" s="1"/>
  <c r="D327" i="2" a="1"/>
  <c r="D327" i="2" s="1"/>
  <c r="D328" i="2" a="1"/>
  <c r="D328" i="2" s="1"/>
  <c r="D329" i="2" a="1"/>
  <c r="D329" i="2" s="1"/>
  <c r="D330" i="2" a="1"/>
  <c r="D330" i="2" s="1"/>
  <c r="D331" i="2" a="1"/>
  <c r="D331" i="2" s="1"/>
  <c r="D332" i="2" a="1"/>
  <c r="D332" i="2" s="1"/>
  <c r="D333" i="2" a="1"/>
  <c r="D333" i="2" s="1"/>
  <c r="D334" i="2" a="1"/>
  <c r="D334" i="2" s="1"/>
  <c r="D335" i="2" a="1"/>
  <c r="D335" i="2" s="1"/>
  <c r="D336" i="2" a="1"/>
  <c r="D336" i="2" s="1"/>
  <c r="D337" i="2" a="1"/>
  <c r="D337" i="2" s="1"/>
  <c r="D338" i="2" a="1"/>
  <c r="D338" i="2" s="1"/>
  <c r="D339" i="2" a="1"/>
  <c r="D339" i="2" s="1"/>
  <c r="D340" i="2" a="1"/>
  <c r="D340" i="2" s="1"/>
  <c r="D341" i="2" a="1"/>
  <c r="D341" i="2" s="1"/>
  <c r="D342" i="2" a="1"/>
  <c r="D342" i="2" s="1"/>
  <c r="D343" i="2" a="1"/>
  <c r="D343" i="2" s="1"/>
  <c r="D344" i="2" a="1"/>
  <c r="D344" i="2" s="1"/>
  <c r="D345" i="2" a="1"/>
  <c r="D345" i="2" s="1"/>
  <c r="D346" i="2" a="1"/>
  <c r="D346" i="2" s="1"/>
  <c r="D347" i="2" a="1"/>
  <c r="D347" i="2" s="1"/>
  <c r="D348" i="2" a="1"/>
  <c r="D348" i="2" s="1"/>
  <c r="D349" i="2" a="1"/>
  <c r="D349" i="2" s="1"/>
  <c r="D350" i="2" a="1"/>
  <c r="D350" i="2" s="1"/>
  <c r="D351" i="2" a="1"/>
  <c r="D351" i="2" s="1"/>
  <c r="D352" i="2" a="1"/>
  <c r="D352" i="2" s="1"/>
  <c r="D353" i="2" a="1"/>
  <c r="D353" i="2" s="1"/>
  <c r="D354" i="2" a="1"/>
  <c r="D354" i="2" s="1"/>
  <c r="D355" i="2" a="1"/>
  <c r="D355" i="2" s="1"/>
  <c r="D356" i="2" a="1"/>
  <c r="D356" i="2" s="1"/>
  <c r="D357" i="2" a="1"/>
  <c r="D357" i="2" s="1"/>
  <c r="D358" i="2" a="1"/>
  <c r="D358" i="2" s="1"/>
  <c r="D359" i="2" a="1"/>
  <c r="D359" i="2" s="1"/>
  <c r="D360" i="2" a="1"/>
  <c r="D360" i="2" s="1"/>
  <c r="D361" i="2" a="1"/>
  <c r="D361" i="2" s="1"/>
  <c r="D362" i="2" a="1"/>
  <c r="D362" i="2" s="1"/>
  <c r="D363" i="2" a="1"/>
  <c r="D363" i="2" s="1"/>
  <c r="D364" i="2" a="1"/>
  <c r="D364" i="2" s="1"/>
  <c r="D365" i="2" a="1"/>
  <c r="D365" i="2" s="1"/>
  <c r="D366" i="2" a="1"/>
  <c r="D366" i="2" s="1"/>
  <c r="D367" i="2" a="1"/>
  <c r="D367" i="2" s="1"/>
  <c r="D368" i="2" a="1"/>
  <c r="D368" i="2" s="1"/>
  <c r="D369" i="2" a="1"/>
  <c r="D369" i="2" s="1"/>
  <c r="D370" i="2" a="1"/>
  <c r="D370" i="2" s="1"/>
  <c r="D371" i="2" a="1"/>
  <c r="D371" i="2" s="1"/>
  <c r="D372" i="2" a="1"/>
  <c r="D372" i="2" s="1"/>
  <c r="D373" i="2" a="1"/>
  <c r="D373" i="2" s="1"/>
  <c r="D374" i="2" a="1"/>
  <c r="D374" i="2" s="1"/>
  <c r="D375" i="2" a="1"/>
  <c r="D375" i="2" s="1"/>
  <c r="D376" i="2" a="1"/>
  <c r="D376" i="2" s="1"/>
  <c r="D377" i="2" a="1"/>
  <c r="D377" i="2" s="1"/>
  <c r="D378" i="2" a="1"/>
  <c r="D378" i="2" s="1"/>
  <c r="D379" i="2" a="1"/>
  <c r="D379" i="2" s="1"/>
  <c r="D380" i="2" a="1"/>
  <c r="D380" i="2" s="1"/>
  <c r="D381" i="2" a="1"/>
  <c r="D381" i="2" s="1"/>
  <c r="D382" i="2" a="1"/>
  <c r="D382" i="2" s="1"/>
  <c r="D383" i="2" a="1"/>
  <c r="D383" i="2" s="1"/>
  <c r="D384" i="2" a="1"/>
  <c r="D384" i="2" s="1"/>
  <c r="D385" i="2" a="1"/>
  <c r="D385" i="2" s="1"/>
  <c r="D386" i="2" a="1"/>
  <c r="D386" i="2" s="1"/>
  <c r="D387" i="2" a="1"/>
  <c r="D387" i="2" s="1"/>
  <c r="D388" i="2" a="1"/>
  <c r="D388" i="2" s="1"/>
  <c r="D389" i="2" a="1"/>
  <c r="D389" i="2" s="1"/>
  <c r="D390" i="2" a="1"/>
  <c r="D390" i="2" s="1"/>
  <c r="D391" i="2" a="1"/>
  <c r="D391" i="2" s="1"/>
  <c r="D392" i="2" a="1"/>
  <c r="D392" i="2" s="1"/>
  <c r="D393" i="2" a="1"/>
  <c r="D393" i="2" s="1"/>
  <c r="D394" i="2" a="1"/>
  <c r="D394" i="2" s="1"/>
  <c r="D395" i="2" a="1"/>
  <c r="D395" i="2" s="1"/>
  <c r="D396" i="2" a="1"/>
  <c r="D396" i="2" s="1"/>
  <c r="D397" i="2" a="1"/>
  <c r="D397" i="2" s="1"/>
  <c r="D398" i="2" a="1"/>
  <c r="D398" i="2" s="1"/>
  <c r="D399" i="2" a="1"/>
  <c r="D399" i="2" s="1"/>
  <c r="D400" i="2" a="1"/>
  <c r="D400" i="2" s="1"/>
  <c r="D401" i="2" a="1"/>
  <c r="D401" i="2" s="1"/>
  <c r="D402" i="2" a="1"/>
  <c r="D402" i="2" s="1"/>
  <c r="D403" i="2" a="1"/>
  <c r="D403" i="2" s="1"/>
  <c r="D404" i="2" a="1"/>
  <c r="D404" i="2" s="1"/>
  <c r="D405" i="2" a="1"/>
  <c r="D405" i="2" s="1"/>
  <c r="D406" i="2" a="1"/>
  <c r="D406" i="2" s="1"/>
  <c r="D407" i="2" a="1"/>
  <c r="D407" i="2" s="1"/>
  <c r="D408" i="2" a="1"/>
  <c r="D408" i="2" s="1"/>
  <c r="D409" i="2" a="1"/>
  <c r="D409" i="2" s="1"/>
  <c r="D410" i="2" a="1"/>
  <c r="D410" i="2" s="1"/>
  <c r="D411" i="2" a="1"/>
  <c r="D411" i="2" s="1"/>
  <c r="D412" i="2" a="1"/>
  <c r="D412" i="2" s="1"/>
  <c r="D413" i="2" a="1"/>
  <c r="D413" i="2" s="1"/>
  <c r="D414" i="2" a="1"/>
  <c r="D414" i="2" s="1"/>
  <c r="D415" i="2" a="1"/>
  <c r="D415" i="2" s="1"/>
  <c r="D416" i="2" a="1"/>
  <c r="D416" i="2" s="1"/>
  <c r="D417" i="2" a="1"/>
  <c r="D417" i="2" s="1"/>
  <c r="D418" i="2" a="1"/>
  <c r="D418" i="2" s="1"/>
  <c r="D419" i="2" a="1"/>
  <c r="D419" i="2" s="1"/>
  <c r="D420" i="2" a="1"/>
  <c r="D420" i="2" s="1"/>
  <c r="D421" i="2" a="1"/>
  <c r="D421" i="2" s="1"/>
  <c r="D422" i="2" a="1"/>
  <c r="D422" i="2" s="1"/>
  <c r="D423" i="2" a="1"/>
  <c r="D423" i="2" s="1"/>
  <c r="D424" i="2" a="1"/>
  <c r="D424" i="2" s="1"/>
  <c r="D425" i="2" a="1"/>
  <c r="D425" i="2" s="1"/>
  <c r="D426" i="2" a="1"/>
  <c r="D426" i="2" s="1"/>
  <c r="D427" i="2" a="1"/>
  <c r="D427" i="2" s="1"/>
  <c r="D428" i="2" a="1"/>
  <c r="D428" i="2" s="1"/>
  <c r="D429" i="2" a="1"/>
  <c r="D429" i="2" s="1"/>
  <c r="D430" i="2" a="1"/>
  <c r="D430" i="2" s="1"/>
  <c r="D431" i="2" a="1"/>
  <c r="D431" i="2" s="1"/>
  <c r="D432" i="2" a="1"/>
  <c r="D432" i="2" s="1"/>
  <c r="D433" i="2" a="1"/>
  <c r="D433" i="2" s="1"/>
  <c r="D434" i="2" a="1"/>
  <c r="D434" i="2" s="1"/>
  <c r="D435" i="2" a="1"/>
  <c r="D435" i="2" s="1"/>
  <c r="D436" i="2" a="1"/>
  <c r="D436" i="2" s="1"/>
  <c r="D437" i="2" a="1"/>
  <c r="D437" i="2" s="1"/>
  <c r="D438" i="2" a="1"/>
  <c r="D438" i="2" s="1"/>
  <c r="D439" i="2" a="1"/>
  <c r="D439" i="2" s="1"/>
  <c r="D440" i="2" a="1"/>
  <c r="D440" i="2" s="1"/>
  <c r="D441" i="2" a="1"/>
  <c r="D441" i="2" s="1"/>
  <c r="D442" i="2" a="1"/>
  <c r="D442" i="2" s="1"/>
  <c r="D443" i="2" a="1"/>
  <c r="D443" i="2" s="1"/>
  <c r="D444" i="2" a="1"/>
  <c r="D444" i="2" s="1"/>
  <c r="D445" i="2" a="1"/>
  <c r="D445" i="2" s="1"/>
  <c r="D446" i="2" a="1"/>
  <c r="D446" i="2" s="1"/>
  <c r="D447" i="2" a="1"/>
  <c r="D447" i="2" s="1"/>
  <c r="D448" i="2" a="1"/>
  <c r="D448" i="2" s="1"/>
  <c r="D449" i="2" a="1"/>
  <c r="D449" i="2" s="1"/>
  <c r="D450" i="2" a="1"/>
  <c r="D450" i="2" s="1"/>
  <c r="D451" i="2" a="1"/>
  <c r="D451" i="2" s="1"/>
  <c r="D452" i="2" a="1"/>
  <c r="D452" i="2" s="1"/>
  <c r="D453" i="2" a="1"/>
  <c r="D453" i="2" s="1"/>
  <c r="D454" i="2" a="1"/>
  <c r="D454" i="2" s="1"/>
  <c r="D455" i="2" a="1"/>
  <c r="D455" i="2" s="1"/>
  <c r="D456" i="2" a="1"/>
  <c r="D456" i="2" s="1"/>
  <c r="D457" i="2" a="1"/>
  <c r="D457" i="2" s="1"/>
  <c r="D458" i="2" a="1"/>
  <c r="D458" i="2" s="1"/>
  <c r="D459" i="2" a="1"/>
  <c r="D459" i="2" s="1"/>
  <c r="D460" i="2" a="1"/>
  <c r="D460" i="2" s="1"/>
  <c r="D461" i="2" a="1"/>
  <c r="D461" i="2" s="1"/>
  <c r="D462" i="2" a="1"/>
  <c r="D462" i="2" s="1"/>
  <c r="D463" i="2" a="1"/>
  <c r="D463" i="2" s="1"/>
  <c r="D464" i="2" a="1"/>
  <c r="D464" i="2" s="1"/>
  <c r="D465" i="2" a="1"/>
  <c r="D465" i="2" s="1"/>
  <c r="D466" i="2" a="1"/>
  <c r="D466" i="2" s="1"/>
  <c r="D467" i="2" a="1"/>
  <c r="D467" i="2" s="1"/>
  <c r="D468" i="2" a="1"/>
  <c r="D468" i="2" s="1"/>
  <c r="D469" i="2" a="1"/>
  <c r="D469" i="2"/>
  <c r="D470" i="2" a="1"/>
  <c r="D470" i="2" s="1"/>
  <c r="D471" i="2" a="1"/>
  <c r="D471" i="2" s="1"/>
  <c r="D472" i="2" a="1"/>
  <c r="D472" i="2" s="1"/>
  <c r="D473" i="2" a="1"/>
  <c r="D473" i="2" s="1"/>
  <c r="D474" i="2" a="1"/>
  <c r="D474" i="2" s="1"/>
  <c r="D475" i="2" a="1"/>
  <c r="D475" i="2" s="1"/>
  <c r="D476" i="2" a="1"/>
  <c r="D476" i="2" s="1"/>
  <c r="D477" i="2" a="1"/>
  <c r="D477" i="2" s="1"/>
  <c r="D478" i="2" a="1"/>
  <c r="D478" i="2" s="1"/>
  <c r="D479" i="2" a="1"/>
  <c r="D479" i="2" s="1"/>
  <c r="D480" i="2" a="1"/>
  <c r="D480" i="2" s="1"/>
  <c r="D481" i="2" a="1"/>
  <c r="D481" i="2" s="1"/>
  <c r="D482" i="2" a="1"/>
  <c r="D482" i="2" s="1"/>
  <c r="D483" i="2" a="1"/>
  <c r="D483" i="2" s="1"/>
  <c r="D484" i="2" a="1"/>
  <c r="D484" i="2" s="1"/>
  <c r="D485" i="2" a="1"/>
  <c r="D485" i="2" s="1"/>
  <c r="D486" i="2" a="1"/>
  <c r="D486" i="2" s="1"/>
  <c r="D487" i="2" a="1"/>
  <c r="D487" i="2" s="1"/>
  <c r="D488" i="2" a="1"/>
  <c r="D488" i="2" s="1"/>
  <c r="D489" i="2" a="1"/>
  <c r="D489" i="2" s="1"/>
  <c r="D490" i="2" a="1"/>
  <c r="D490" i="2" s="1"/>
  <c r="D491" i="2" a="1"/>
  <c r="D491" i="2" s="1"/>
  <c r="D492" i="2" a="1"/>
  <c r="D492" i="2" s="1"/>
  <c r="D493" i="2" a="1"/>
  <c r="D493" i="2" s="1"/>
  <c r="D494" i="2" a="1"/>
  <c r="D494" i="2" s="1"/>
  <c r="D495" i="2" a="1"/>
  <c r="D495" i="2" s="1"/>
  <c r="D496" i="2" a="1"/>
  <c r="D496" i="2" s="1"/>
  <c r="D497" i="2" a="1"/>
  <c r="D497" i="2" s="1"/>
  <c r="D498" i="2" a="1"/>
  <c r="D498" i="2" s="1"/>
  <c r="D499" i="2" a="1"/>
  <c r="D499" i="2" s="1"/>
  <c r="D500" i="2" a="1"/>
  <c r="D500" i="2" s="1"/>
  <c r="D501" i="2" a="1"/>
  <c r="D501" i="2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O2" i="2"/>
  <c r="P2" i="2" s="1"/>
  <c r="Q2" i="2" s="1"/>
  <c r="O3" i="2"/>
  <c r="P3" i="2" s="1"/>
  <c r="Q3" i="2" s="1"/>
  <c r="O4" i="2"/>
  <c r="P4" i="2" s="1"/>
  <c r="Q4" i="2" s="1"/>
  <c r="O5" i="2"/>
  <c r="P5" i="2" s="1"/>
  <c r="Q5" i="2" s="1"/>
  <c r="O6" i="2"/>
  <c r="P6" i="2" s="1"/>
  <c r="Q6" i="2" s="1"/>
  <c r="O7" i="2"/>
  <c r="P7" i="2" s="1"/>
  <c r="Q7" i="2" s="1"/>
  <c r="O8" i="2"/>
  <c r="P8" i="2" s="1"/>
  <c r="Q8" i="2" s="1"/>
  <c r="O9" i="2"/>
  <c r="P9" i="2" s="1"/>
  <c r="Q9" i="2" s="1"/>
  <c r="O10" i="2"/>
  <c r="P10" i="2" s="1"/>
  <c r="Q10" i="2" s="1"/>
  <c r="O11" i="2"/>
  <c r="P11" i="2" s="1"/>
  <c r="Q11" i="2" s="1"/>
  <c r="O12" i="2"/>
  <c r="P12" i="2" s="1"/>
  <c r="Q12" i="2" s="1"/>
  <c r="O13" i="2"/>
  <c r="P13" i="2" s="1"/>
  <c r="Q13" i="2" s="1"/>
  <c r="O14" i="2"/>
  <c r="P14" i="2" s="1"/>
  <c r="Q14" i="2" s="1"/>
  <c r="O15" i="2"/>
  <c r="P15" i="2" s="1"/>
  <c r="Q15" i="2" s="1"/>
  <c r="O16" i="2"/>
  <c r="P16" i="2" s="1"/>
  <c r="Q16" i="2" s="1"/>
  <c r="O17" i="2"/>
  <c r="P17" i="2" s="1"/>
  <c r="O18" i="2"/>
  <c r="P18" i="2" s="1"/>
  <c r="Q18" i="2" s="1"/>
  <c r="O19" i="2"/>
  <c r="P19" i="2" s="1"/>
  <c r="Q19" i="2" s="1"/>
  <c r="O20" i="2"/>
  <c r="P20" i="2" s="1"/>
  <c r="Q20" i="2" s="1"/>
  <c r="O21" i="2"/>
  <c r="P21" i="2" s="1"/>
  <c r="Q21" i="2" s="1"/>
  <c r="O22" i="2"/>
  <c r="P22" i="2" s="1"/>
  <c r="Q22" i="2" s="1"/>
  <c r="O23" i="2"/>
  <c r="P23" i="2" s="1"/>
  <c r="Q23" i="2" s="1"/>
  <c r="O24" i="2"/>
  <c r="P24" i="2" s="1"/>
  <c r="Q24" i="2" s="1"/>
  <c r="O25" i="2"/>
  <c r="P25" i="2" s="1"/>
  <c r="Q25" i="2" s="1"/>
  <c r="O26" i="2"/>
  <c r="P26" i="2" s="1"/>
  <c r="Q26" i="2" s="1"/>
  <c r="O27" i="2"/>
  <c r="P27" i="2" s="1"/>
  <c r="Q27" i="2" s="1"/>
  <c r="O28" i="2"/>
  <c r="P28" i="2" s="1"/>
  <c r="Q28" i="2" s="1"/>
  <c r="O29" i="2"/>
  <c r="P29" i="2" s="1"/>
  <c r="Q29" i="2" s="1"/>
  <c r="O30" i="2"/>
  <c r="P30" i="2" s="1"/>
  <c r="Q30" i="2" s="1"/>
  <c r="O31" i="2"/>
  <c r="P31" i="2" s="1"/>
  <c r="Q31" i="2" s="1"/>
  <c r="O32" i="2"/>
  <c r="P32" i="2" s="1"/>
  <c r="Q32" i="2" s="1"/>
  <c r="O33" i="2"/>
  <c r="P33" i="2" s="1"/>
  <c r="Q33" i="2" s="1"/>
  <c r="O34" i="2"/>
  <c r="P34" i="2" s="1"/>
  <c r="Q34" i="2" s="1"/>
  <c r="O35" i="2"/>
  <c r="P35" i="2" s="1"/>
  <c r="Q35" i="2" s="1"/>
  <c r="O36" i="2"/>
  <c r="P36" i="2" s="1"/>
  <c r="Q36" i="2" s="1"/>
  <c r="O37" i="2"/>
  <c r="P37" i="2" s="1"/>
  <c r="Q37" i="2" s="1"/>
  <c r="O38" i="2"/>
  <c r="P38" i="2" s="1"/>
  <c r="Q38" i="2" s="1"/>
  <c r="O39" i="2"/>
  <c r="P39" i="2" s="1"/>
  <c r="Q39" i="2" s="1"/>
  <c r="O40" i="2"/>
  <c r="P40" i="2" s="1"/>
  <c r="Q40" i="2" s="1"/>
  <c r="O41" i="2"/>
  <c r="P41" i="2" s="1"/>
  <c r="Q41" i="2" s="1"/>
  <c r="O42" i="2"/>
  <c r="P42" i="2" s="1"/>
  <c r="Q42" i="2" s="1"/>
  <c r="O43" i="2"/>
  <c r="P43" i="2" s="1"/>
  <c r="Q43" i="2" s="1"/>
  <c r="O44" i="2"/>
  <c r="P44" i="2" s="1"/>
  <c r="Q44" i="2" s="1"/>
  <c r="O45" i="2"/>
  <c r="P45" i="2" s="1"/>
  <c r="Q45" i="2" s="1"/>
  <c r="O46" i="2"/>
  <c r="P46" i="2" s="1"/>
  <c r="Q46" i="2" s="1"/>
  <c r="O47" i="2"/>
  <c r="O48" i="2"/>
  <c r="O49" i="2"/>
  <c r="O50" i="2"/>
  <c r="P50" i="2" s="1"/>
  <c r="Q50" i="2" s="1"/>
  <c r="O51" i="2"/>
  <c r="P51" i="2" s="1"/>
  <c r="Q51" i="2" s="1"/>
  <c r="O52" i="2"/>
  <c r="P52" i="2" s="1"/>
  <c r="Q52" i="2" s="1"/>
  <c r="O53" i="2"/>
  <c r="P53" i="2" s="1"/>
  <c r="Q53" i="2" s="1"/>
  <c r="O54" i="2"/>
  <c r="P54" i="2" s="1"/>
  <c r="Q54" i="2" s="1"/>
  <c r="O55" i="2"/>
  <c r="P55" i="2" s="1"/>
  <c r="Q55" i="2" s="1"/>
  <c r="O56" i="2"/>
  <c r="P56" i="2" s="1"/>
  <c r="Q56" i="2" s="1"/>
  <c r="O57" i="2"/>
  <c r="P57" i="2" s="1"/>
  <c r="Q57" i="2" s="1"/>
  <c r="O58" i="2"/>
  <c r="P58" i="2" s="1"/>
  <c r="Q58" i="2" s="1"/>
  <c r="O59" i="2"/>
  <c r="P59" i="2" s="1"/>
  <c r="Q59" i="2" s="1"/>
  <c r="O60" i="2"/>
  <c r="P60" i="2" s="1"/>
  <c r="Q60" i="2" s="1"/>
  <c r="O61" i="2"/>
  <c r="P61" i="2" s="1"/>
  <c r="Q61" i="2" s="1"/>
  <c r="O62" i="2"/>
  <c r="P62" i="2" s="1"/>
  <c r="Q62" i="2" s="1"/>
  <c r="O63" i="2"/>
  <c r="P63" i="2" s="1"/>
  <c r="Q63" i="2" s="1"/>
  <c r="O64" i="2"/>
  <c r="P64" i="2" s="1"/>
  <c r="Q64" i="2" s="1"/>
  <c r="O65" i="2"/>
  <c r="P65" i="2" s="1"/>
  <c r="Q65" i="2" s="1"/>
  <c r="O66" i="2"/>
  <c r="P66" i="2" s="1"/>
  <c r="Q66" i="2" s="1"/>
  <c r="O67" i="2"/>
  <c r="P67" i="2" s="1"/>
  <c r="Q67" i="2" s="1"/>
  <c r="O68" i="2"/>
  <c r="P68" i="2" s="1"/>
  <c r="Q68" i="2" s="1"/>
  <c r="O69" i="2"/>
  <c r="P69" i="2" s="1"/>
  <c r="Q69" i="2" s="1"/>
  <c r="O70" i="2"/>
  <c r="P70" i="2" s="1"/>
  <c r="Q70" i="2" s="1"/>
  <c r="O71" i="2"/>
  <c r="P71" i="2" s="1"/>
  <c r="Q71" i="2" s="1"/>
  <c r="O72" i="2"/>
  <c r="P72" i="2" s="1"/>
  <c r="Q72" i="2" s="1"/>
  <c r="O73" i="2"/>
  <c r="P73" i="2" s="1"/>
  <c r="Q73" i="2" s="1"/>
  <c r="O74" i="2"/>
  <c r="O75" i="2"/>
  <c r="O76" i="2"/>
  <c r="P76" i="2" s="1"/>
  <c r="Q76" i="2" s="1"/>
  <c r="O77" i="2"/>
  <c r="P77" i="2" s="1"/>
  <c r="Q77" i="2" s="1"/>
  <c r="O78" i="2"/>
  <c r="P78" i="2" s="1"/>
  <c r="Q78" i="2" s="1"/>
  <c r="O79" i="2"/>
  <c r="P79" i="2" s="1"/>
  <c r="Q79" i="2" s="1"/>
  <c r="O80" i="2"/>
  <c r="O81" i="2"/>
  <c r="P81" i="2" s="1"/>
  <c r="Q81" i="2" s="1"/>
  <c r="O82" i="2"/>
  <c r="P82" i="2" s="1"/>
  <c r="Q82" i="2" s="1"/>
  <c r="O83" i="2"/>
  <c r="O84" i="2"/>
  <c r="P84" i="2" s="1"/>
  <c r="Q84" i="2" s="1"/>
  <c r="O85" i="2"/>
  <c r="P85" i="2" s="1"/>
  <c r="Q85" i="2" s="1"/>
  <c r="O86" i="2"/>
  <c r="P86" i="2" s="1"/>
  <c r="Q86" i="2" s="1"/>
  <c r="O87" i="2"/>
  <c r="P87" i="2" s="1"/>
  <c r="Q87" i="2" s="1"/>
  <c r="O88" i="2"/>
  <c r="P88" i="2" s="1"/>
  <c r="Q88" i="2" s="1"/>
  <c r="O89" i="2"/>
  <c r="P89" i="2" s="1"/>
  <c r="Q89" i="2" s="1"/>
  <c r="O90" i="2"/>
  <c r="P90" i="2" s="1"/>
  <c r="Q90" i="2" s="1"/>
  <c r="O91" i="2"/>
  <c r="P91" i="2" s="1"/>
  <c r="Q91" i="2" s="1"/>
  <c r="O92" i="2"/>
  <c r="P92" i="2" s="1"/>
  <c r="Q92" i="2" s="1"/>
  <c r="O93" i="2"/>
  <c r="P93" i="2" s="1"/>
  <c r="Q93" i="2" s="1"/>
  <c r="O94" i="2"/>
  <c r="P94" i="2" s="1"/>
  <c r="Q94" i="2" s="1"/>
  <c r="O95" i="2"/>
  <c r="P95" i="2" s="1"/>
  <c r="Q95" i="2" s="1"/>
  <c r="O96" i="2"/>
  <c r="P96" i="2" s="1"/>
  <c r="Q96" i="2" s="1"/>
  <c r="O97" i="2"/>
  <c r="P97" i="2" s="1"/>
  <c r="Q97" i="2" s="1"/>
  <c r="O98" i="2"/>
  <c r="P98" i="2" s="1"/>
  <c r="Q98" i="2" s="1"/>
  <c r="O99" i="2"/>
  <c r="P99" i="2" s="1"/>
  <c r="Q99" i="2" s="1"/>
  <c r="O100" i="2"/>
  <c r="P100" i="2" s="1"/>
  <c r="Q100" i="2" s="1"/>
  <c r="O101" i="2"/>
  <c r="P101" i="2" s="1"/>
  <c r="Q101" i="2" s="1"/>
  <c r="O102" i="2"/>
  <c r="P102" i="2" s="1"/>
  <c r="Q102" i="2" s="1"/>
  <c r="O103" i="2"/>
  <c r="P103" i="2" s="1"/>
  <c r="Q103" i="2" s="1"/>
  <c r="O104" i="2"/>
  <c r="P104" i="2" s="1"/>
  <c r="Q104" i="2" s="1"/>
  <c r="O105" i="2"/>
  <c r="P105" i="2" s="1"/>
  <c r="Q105" i="2" s="1"/>
  <c r="O106" i="2"/>
  <c r="P106" i="2" s="1"/>
  <c r="Q106" i="2" s="1"/>
  <c r="O107" i="2"/>
  <c r="P107" i="2" s="1"/>
  <c r="Q107" i="2" s="1"/>
  <c r="O108" i="2"/>
  <c r="P108" i="2" s="1"/>
  <c r="Q108" i="2" s="1"/>
  <c r="O109" i="2"/>
  <c r="P109" i="2" s="1"/>
  <c r="Q109" i="2" s="1"/>
  <c r="O110" i="2"/>
  <c r="P110" i="2" s="1"/>
  <c r="Q110" i="2" s="1"/>
  <c r="O111" i="2"/>
  <c r="O112" i="2"/>
  <c r="P112" i="2" s="1"/>
  <c r="Q112" i="2" s="1"/>
  <c r="O113" i="2"/>
  <c r="P113" i="2" s="1"/>
  <c r="Q113" i="2" s="1"/>
  <c r="O114" i="2"/>
  <c r="P114" i="2" s="1"/>
  <c r="Q114" i="2" s="1"/>
  <c r="O115" i="2"/>
  <c r="P115" i="2" s="1"/>
  <c r="Q115" i="2" s="1"/>
  <c r="O116" i="2"/>
  <c r="P116" i="2" s="1"/>
  <c r="Q116" i="2" s="1"/>
  <c r="O117" i="2"/>
  <c r="P117" i="2" s="1"/>
  <c r="Q117" i="2" s="1"/>
  <c r="O118" i="2"/>
  <c r="P118" i="2" s="1"/>
  <c r="Q118" i="2" s="1"/>
  <c r="O119" i="2"/>
  <c r="P119" i="2" s="1"/>
  <c r="Q119" i="2" s="1"/>
  <c r="O120" i="2"/>
  <c r="P120" i="2" s="1"/>
  <c r="Q120" i="2" s="1"/>
  <c r="O121" i="2"/>
  <c r="P121" i="2" s="1"/>
  <c r="Q121" i="2" s="1"/>
  <c r="O122" i="2"/>
  <c r="P122" i="2" s="1"/>
  <c r="Q122" i="2" s="1"/>
  <c r="O123" i="2"/>
  <c r="P123" i="2" s="1"/>
  <c r="Q123" i="2" s="1"/>
  <c r="O124" i="2"/>
  <c r="P124" i="2" s="1"/>
  <c r="Q124" i="2" s="1"/>
  <c r="O125" i="2"/>
  <c r="O126" i="2"/>
  <c r="P126" i="2" s="1"/>
  <c r="Q126" i="2" s="1"/>
  <c r="O127" i="2"/>
  <c r="P127" i="2" s="1"/>
  <c r="Q127" i="2" s="1"/>
  <c r="O128" i="2"/>
  <c r="P128" i="2" s="1"/>
  <c r="Q128" i="2" s="1"/>
  <c r="O129" i="2"/>
  <c r="P129" i="2" s="1"/>
  <c r="Q129" i="2" s="1"/>
  <c r="O130" i="2"/>
  <c r="P130" i="2" s="1"/>
  <c r="Q130" i="2" s="1"/>
  <c r="O131" i="2"/>
  <c r="P131" i="2" s="1"/>
  <c r="Q131" i="2" s="1"/>
  <c r="O132" i="2"/>
  <c r="P132" i="2" s="1"/>
  <c r="Q132" i="2" s="1"/>
  <c r="O133" i="2"/>
  <c r="P133" i="2" s="1"/>
  <c r="Q133" i="2" s="1"/>
  <c r="O134" i="2"/>
  <c r="P134" i="2" s="1"/>
  <c r="Q134" i="2" s="1"/>
  <c r="O135" i="2"/>
  <c r="P135" i="2" s="1"/>
  <c r="Q135" i="2" s="1"/>
  <c r="O136" i="2"/>
  <c r="P136" i="2" s="1"/>
  <c r="Q136" i="2" s="1"/>
  <c r="O137" i="2"/>
  <c r="P137" i="2" s="1"/>
  <c r="Q137" i="2" s="1"/>
  <c r="O138" i="2"/>
  <c r="P138" i="2" s="1"/>
  <c r="Q138" i="2" s="1"/>
  <c r="O139" i="2"/>
  <c r="O140" i="2"/>
  <c r="P140" i="2" s="1"/>
  <c r="Q140" i="2" s="1"/>
  <c r="O141" i="2"/>
  <c r="P141" i="2" s="1"/>
  <c r="Q141" i="2" s="1"/>
  <c r="O142" i="2"/>
  <c r="P142" i="2" s="1"/>
  <c r="Q142" i="2" s="1"/>
  <c r="O143" i="2"/>
  <c r="O144" i="2"/>
  <c r="P144" i="2" s="1"/>
  <c r="Q144" i="2" s="1"/>
  <c r="O145" i="2"/>
  <c r="P145" i="2" s="1"/>
  <c r="Q145" i="2" s="1"/>
  <c r="O146" i="2"/>
  <c r="P146" i="2" s="1"/>
  <c r="Q146" i="2" s="1"/>
  <c r="O147" i="2"/>
  <c r="P147" i="2" s="1"/>
  <c r="Q147" i="2" s="1"/>
  <c r="O148" i="2"/>
  <c r="P148" i="2" s="1"/>
  <c r="Q148" i="2" s="1"/>
  <c r="O149" i="2"/>
  <c r="P149" i="2" s="1"/>
  <c r="Q149" i="2" s="1"/>
  <c r="O150" i="2"/>
  <c r="P150" i="2" s="1"/>
  <c r="Q150" i="2" s="1"/>
  <c r="O151" i="2"/>
  <c r="P151" i="2" s="1"/>
  <c r="Q151" i="2" s="1"/>
  <c r="O152" i="2"/>
  <c r="P152" i="2" s="1"/>
  <c r="Q152" i="2" s="1"/>
  <c r="O153" i="2"/>
  <c r="O154" i="2"/>
  <c r="P154" i="2" s="1"/>
  <c r="Q154" i="2" s="1"/>
  <c r="O155" i="2"/>
  <c r="P155" i="2" s="1"/>
  <c r="Q155" i="2" s="1"/>
  <c r="O156" i="2"/>
  <c r="P156" i="2" s="1"/>
  <c r="Q156" i="2" s="1"/>
  <c r="O157" i="2"/>
  <c r="O158" i="2"/>
  <c r="P158" i="2" s="1"/>
  <c r="Q158" i="2" s="1"/>
  <c r="O159" i="2"/>
  <c r="P159" i="2" s="1"/>
  <c r="Q159" i="2" s="1"/>
  <c r="O160" i="2"/>
  <c r="P160" i="2" s="1"/>
  <c r="Q160" i="2" s="1"/>
  <c r="O161" i="2"/>
  <c r="P161" i="2" s="1"/>
  <c r="Q161" i="2" s="1"/>
  <c r="O162" i="2"/>
  <c r="P162" i="2" s="1"/>
  <c r="Q162" i="2" s="1"/>
  <c r="O163" i="2"/>
  <c r="P163" i="2" s="1"/>
  <c r="Q163" i="2" s="1"/>
  <c r="O164" i="2"/>
  <c r="P164" i="2" s="1"/>
  <c r="Q164" i="2" s="1"/>
  <c r="O165" i="2"/>
  <c r="P165" i="2" s="1"/>
  <c r="Q165" i="2" s="1"/>
  <c r="O166" i="2"/>
  <c r="P166" i="2" s="1"/>
  <c r="Q166" i="2" s="1"/>
  <c r="O167" i="2"/>
  <c r="P167" i="2" s="1"/>
  <c r="Q167" i="2" s="1"/>
  <c r="O168" i="2"/>
  <c r="O169" i="2"/>
  <c r="P169" i="2" s="1"/>
  <c r="Q169" i="2" s="1"/>
  <c r="O170" i="2"/>
  <c r="P170" i="2" s="1"/>
  <c r="Q170" i="2" s="1"/>
  <c r="O171" i="2"/>
  <c r="P171" i="2" s="1"/>
  <c r="Q171" i="2" s="1"/>
  <c r="O172" i="2"/>
  <c r="P172" i="2" s="1"/>
  <c r="Q172" i="2" s="1"/>
  <c r="O173" i="2"/>
  <c r="P173" i="2" s="1"/>
  <c r="Q173" i="2" s="1"/>
  <c r="O174" i="2"/>
  <c r="P174" i="2" s="1"/>
  <c r="Q174" i="2" s="1"/>
  <c r="O175" i="2"/>
  <c r="P175" i="2" s="1"/>
  <c r="Q175" i="2" s="1"/>
  <c r="O176" i="2"/>
  <c r="P176" i="2" s="1"/>
  <c r="Q176" i="2" s="1"/>
  <c r="O177" i="2"/>
  <c r="P177" i="2" s="1"/>
  <c r="Q177" i="2" s="1"/>
  <c r="O178" i="2"/>
  <c r="P178" i="2" s="1"/>
  <c r="Q178" i="2" s="1"/>
  <c r="O179" i="2"/>
  <c r="O180" i="2"/>
  <c r="P180" i="2" s="1"/>
  <c r="Q180" i="2" s="1"/>
  <c r="O181" i="2"/>
  <c r="P181" i="2" s="1"/>
  <c r="Q181" i="2" s="1"/>
  <c r="O182" i="2"/>
  <c r="P182" i="2" s="1"/>
  <c r="Q182" i="2" s="1"/>
  <c r="O183" i="2"/>
  <c r="P183" i="2" s="1"/>
  <c r="Q183" i="2" s="1"/>
  <c r="O184" i="2"/>
  <c r="P184" i="2" s="1"/>
  <c r="Q184" i="2" s="1"/>
  <c r="O185" i="2"/>
  <c r="P185" i="2" s="1"/>
  <c r="Q185" i="2" s="1"/>
  <c r="O186" i="2"/>
  <c r="P186" i="2" s="1"/>
  <c r="Q186" i="2" s="1"/>
  <c r="O187" i="2"/>
  <c r="P187" i="2" s="1"/>
  <c r="Q187" i="2" s="1"/>
  <c r="O188" i="2"/>
  <c r="P188" i="2" s="1"/>
  <c r="Q188" i="2" s="1"/>
  <c r="O189" i="2"/>
  <c r="P189" i="2" s="1"/>
  <c r="Q189" i="2" s="1"/>
  <c r="O190" i="2"/>
  <c r="P190" i="2" s="1"/>
  <c r="Q190" i="2" s="1"/>
  <c r="O191" i="2"/>
  <c r="O192" i="2"/>
  <c r="O193" i="2"/>
  <c r="P193" i="2" s="1"/>
  <c r="Q193" i="2" s="1"/>
  <c r="O194" i="2"/>
  <c r="P194" i="2" s="1"/>
  <c r="Q194" i="2" s="1"/>
  <c r="O195" i="2"/>
  <c r="P195" i="2" s="1"/>
  <c r="Q195" i="2" s="1"/>
  <c r="O196" i="2"/>
  <c r="P196" i="2" s="1"/>
  <c r="Q196" i="2" s="1"/>
  <c r="O197" i="2"/>
  <c r="P197" i="2" s="1"/>
  <c r="Q197" i="2" s="1"/>
  <c r="O198" i="2"/>
  <c r="P198" i="2" s="1"/>
  <c r="Q198" i="2" s="1"/>
  <c r="O199" i="2"/>
  <c r="P199" i="2" s="1"/>
  <c r="Q199" i="2" s="1"/>
  <c r="O200" i="2"/>
  <c r="P200" i="2" s="1"/>
  <c r="Q200" i="2" s="1"/>
  <c r="O201" i="2"/>
  <c r="P201" i="2" s="1"/>
  <c r="Q201" i="2" s="1"/>
  <c r="O202" i="2"/>
  <c r="P202" i="2" s="1"/>
  <c r="Q202" i="2" s="1"/>
  <c r="O203" i="2"/>
  <c r="P203" i="2" s="1"/>
  <c r="Q203" i="2" s="1"/>
  <c r="O204" i="2"/>
  <c r="P204" i="2" s="1"/>
  <c r="Q204" i="2" s="1"/>
  <c r="O205" i="2"/>
  <c r="P205" i="2" s="1"/>
  <c r="Q205" i="2" s="1"/>
  <c r="O206" i="2"/>
  <c r="P206" i="2" s="1"/>
  <c r="Q206" i="2" s="1"/>
  <c r="O207" i="2"/>
  <c r="P207" i="2" s="1"/>
  <c r="Q207" i="2" s="1"/>
  <c r="O208" i="2"/>
  <c r="P208" i="2" s="1"/>
  <c r="Q208" i="2" s="1"/>
  <c r="O209" i="2"/>
  <c r="P209" i="2" s="1"/>
  <c r="Q209" i="2" s="1"/>
  <c r="O210" i="2"/>
  <c r="P210" i="2" s="1"/>
  <c r="Q210" i="2" s="1"/>
  <c r="O211" i="2"/>
  <c r="P211" i="2" s="1"/>
  <c r="Q211" i="2" s="1"/>
  <c r="O212" i="2"/>
  <c r="P212" i="2" s="1"/>
  <c r="Q212" i="2" s="1"/>
  <c r="O213" i="2"/>
  <c r="P213" i="2" s="1"/>
  <c r="Q213" i="2" s="1"/>
  <c r="O214" i="2"/>
  <c r="P214" i="2" s="1"/>
  <c r="Q214" i="2" s="1"/>
  <c r="O215" i="2"/>
  <c r="P215" i="2" s="1"/>
  <c r="Q215" i="2" s="1"/>
  <c r="O216" i="2"/>
  <c r="P216" i="2" s="1"/>
  <c r="Q216" i="2" s="1"/>
  <c r="O217" i="2"/>
  <c r="P217" i="2" s="1"/>
  <c r="Q217" i="2" s="1"/>
  <c r="O218" i="2"/>
  <c r="P218" i="2" s="1"/>
  <c r="Q218" i="2" s="1"/>
  <c r="O219" i="2"/>
  <c r="P219" i="2" s="1"/>
  <c r="Q219" i="2" s="1"/>
  <c r="O220" i="2"/>
  <c r="P220" i="2" s="1"/>
  <c r="Q220" i="2" s="1"/>
  <c r="O221" i="2"/>
  <c r="P221" i="2" s="1"/>
  <c r="Q221" i="2" s="1"/>
  <c r="O222" i="2"/>
  <c r="P222" i="2" s="1"/>
  <c r="Q222" i="2" s="1"/>
  <c r="O223" i="2"/>
  <c r="P223" i="2" s="1"/>
  <c r="Q223" i="2" s="1"/>
  <c r="O224" i="2"/>
  <c r="P224" i="2" s="1"/>
  <c r="Q224" i="2" s="1"/>
  <c r="O225" i="2"/>
  <c r="P225" i="2" s="1"/>
  <c r="Q225" i="2" s="1"/>
  <c r="O226" i="2"/>
  <c r="P226" i="2" s="1"/>
  <c r="Q226" i="2" s="1"/>
  <c r="O227" i="2"/>
  <c r="P227" i="2" s="1"/>
  <c r="Q227" i="2" s="1"/>
  <c r="O228" i="2"/>
  <c r="P228" i="2" s="1"/>
  <c r="Q228" i="2" s="1"/>
  <c r="O229" i="2"/>
  <c r="P229" i="2" s="1"/>
  <c r="Q229" i="2" s="1"/>
  <c r="O230" i="2"/>
  <c r="P230" i="2" s="1"/>
  <c r="Q230" i="2" s="1"/>
  <c r="O231" i="2"/>
  <c r="P231" i="2" s="1"/>
  <c r="Q231" i="2" s="1"/>
  <c r="O232" i="2"/>
  <c r="P232" i="2" s="1"/>
  <c r="Q232" i="2" s="1"/>
  <c r="O233" i="2"/>
  <c r="P233" i="2" s="1"/>
  <c r="Q233" i="2" s="1"/>
  <c r="O234" i="2"/>
  <c r="P234" i="2" s="1"/>
  <c r="Q234" i="2" s="1"/>
  <c r="O235" i="2"/>
  <c r="P235" i="2" s="1"/>
  <c r="Q235" i="2" s="1"/>
  <c r="O236" i="2"/>
  <c r="P236" i="2" s="1"/>
  <c r="Q236" i="2" s="1"/>
  <c r="O237" i="2"/>
  <c r="P237" i="2" s="1"/>
  <c r="Q237" i="2" s="1"/>
  <c r="O238" i="2"/>
  <c r="P238" i="2" s="1"/>
  <c r="Q238" i="2" s="1"/>
  <c r="O239" i="2"/>
  <c r="P239" i="2" s="1"/>
  <c r="Q239" i="2" s="1"/>
  <c r="O240" i="2"/>
  <c r="P240" i="2" s="1"/>
  <c r="Q240" i="2" s="1"/>
  <c r="O241" i="2"/>
  <c r="P241" i="2" s="1"/>
  <c r="Q241" i="2" s="1"/>
  <c r="O242" i="2"/>
  <c r="P242" i="2" s="1"/>
  <c r="Q242" i="2" s="1"/>
  <c r="O243" i="2"/>
  <c r="P243" i="2" s="1"/>
  <c r="Q243" i="2" s="1"/>
  <c r="O244" i="2"/>
  <c r="P244" i="2" s="1"/>
  <c r="Q244" i="2" s="1"/>
  <c r="O245" i="2"/>
  <c r="P245" i="2" s="1"/>
  <c r="Q245" i="2" s="1"/>
  <c r="O246" i="2"/>
  <c r="P246" i="2" s="1"/>
  <c r="Q246" i="2" s="1"/>
  <c r="O247" i="2"/>
  <c r="P247" i="2" s="1"/>
  <c r="Q247" i="2" s="1"/>
  <c r="O248" i="2"/>
  <c r="P248" i="2" s="1"/>
  <c r="Q248" i="2" s="1"/>
  <c r="O249" i="2"/>
  <c r="P249" i="2" s="1"/>
  <c r="Q249" i="2" s="1"/>
  <c r="O250" i="2"/>
  <c r="P250" i="2" s="1"/>
  <c r="Q250" i="2" s="1"/>
  <c r="O251" i="2"/>
  <c r="P251" i="2" s="1"/>
  <c r="Q251" i="2" s="1"/>
  <c r="O252" i="2"/>
  <c r="P252" i="2" s="1"/>
  <c r="Q252" i="2" s="1"/>
  <c r="O253" i="2"/>
  <c r="P253" i="2" s="1"/>
  <c r="Q253" i="2" s="1"/>
  <c r="O254" i="2"/>
  <c r="P254" i="2" s="1"/>
  <c r="Q254" i="2" s="1"/>
  <c r="O255" i="2"/>
  <c r="P255" i="2" s="1"/>
  <c r="Q255" i="2" s="1"/>
  <c r="O256" i="2"/>
  <c r="P256" i="2" s="1"/>
  <c r="Q256" i="2" s="1"/>
  <c r="O257" i="2"/>
  <c r="P257" i="2" s="1"/>
  <c r="Q257" i="2" s="1"/>
  <c r="O258" i="2"/>
  <c r="P258" i="2" s="1"/>
  <c r="Q258" i="2" s="1"/>
  <c r="O259" i="2"/>
  <c r="P259" i="2" s="1"/>
  <c r="Q259" i="2" s="1"/>
  <c r="O260" i="2"/>
  <c r="O261" i="2"/>
  <c r="P261" i="2" s="1"/>
  <c r="Q261" i="2" s="1"/>
  <c r="O262" i="2"/>
  <c r="P262" i="2" s="1"/>
  <c r="Q262" i="2" s="1"/>
  <c r="O263" i="2"/>
  <c r="P263" i="2" s="1"/>
  <c r="Q263" i="2" s="1"/>
  <c r="O264" i="2"/>
  <c r="P264" i="2" s="1"/>
  <c r="Q264" i="2" s="1"/>
  <c r="O265" i="2"/>
  <c r="P265" i="2" s="1"/>
  <c r="Q265" i="2" s="1"/>
  <c r="O266" i="2"/>
  <c r="P266" i="2" s="1"/>
  <c r="Q266" i="2" s="1"/>
  <c r="O267" i="2"/>
  <c r="P267" i="2" s="1"/>
  <c r="Q267" i="2" s="1"/>
  <c r="O268" i="2"/>
  <c r="P268" i="2" s="1"/>
  <c r="Q268" i="2" s="1"/>
  <c r="O269" i="2"/>
  <c r="O270" i="2"/>
  <c r="P270" i="2" s="1"/>
  <c r="Q270" i="2" s="1"/>
  <c r="O271" i="2"/>
  <c r="P271" i="2" s="1"/>
  <c r="Q271" i="2" s="1"/>
  <c r="O272" i="2"/>
  <c r="O273" i="2"/>
  <c r="P273" i="2" s="1"/>
  <c r="Q273" i="2" s="1"/>
  <c r="O274" i="2"/>
  <c r="P274" i="2" s="1"/>
  <c r="Q274" i="2" s="1"/>
  <c r="O275" i="2"/>
  <c r="O276" i="2"/>
  <c r="P276" i="2" s="1"/>
  <c r="Q276" i="2" s="1"/>
  <c r="O277" i="2"/>
  <c r="P277" i="2" s="1"/>
  <c r="Q277" i="2" s="1"/>
  <c r="O278" i="2"/>
  <c r="P278" i="2" s="1"/>
  <c r="Q278" i="2" s="1"/>
  <c r="O279" i="2"/>
  <c r="P279" i="2" s="1"/>
  <c r="Q279" i="2" s="1"/>
  <c r="O280" i="2"/>
  <c r="P280" i="2" s="1"/>
  <c r="Q280" i="2" s="1"/>
  <c r="O281" i="2"/>
  <c r="P281" i="2" s="1"/>
  <c r="Q281" i="2" s="1"/>
  <c r="O282" i="2"/>
  <c r="P282" i="2" s="1"/>
  <c r="Q282" i="2" s="1"/>
  <c r="O283" i="2"/>
  <c r="P283" i="2" s="1"/>
  <c r="Q283" i="2" s="1"/>
  <c r="O284" i="2"/>
  <c r="P284" i="2" s="1"/>
  <c r="Q284" i="2" s="1"/>
  <c r="O285" i="2"/>
  <c r="P285" i="2" s="1"/>
  <c r="Q285" i="2" s="1"/>
  <c r="O286" i="2"/>
  <c r="P286" i="2" s="1"/>
  <c r="Q286" i="2" s="1"/>
  <c r="O287" i="2"/>
  <c r="P287" i="2" s="1"/>
  <c r="Q287" i="2" s="1"/>
  <c r="O288" i="2"/>
  <c r="P288" i="2" s="1"/>
  <c r="Q288" i="2" s="1"/>
  <c r="O289" i="2"/>
  <c r="P289" i="2" s="1"/>
  <c r="Q289" i="2" s="1"/>
  <c r="O290" i="2"/>
  <c r="P290" i="2" s="1"/>
  <c r="Q290" i="2" s="1"/>
  <c r="O291" i="2"/>
  <c r="P291" i="2" s="1"/>
  <c r="Q291" i="2" s="1"/>
  <c r="O292" i="2"/>
  <c r="P292" i="2" s="1"/>
  <c r="Q292" i="2" s="1"/>
  <c r="O293" i="2"/>
  <c r="P293" i="2" s="1"/>
  <c r="Q293" i="2" s="1"/>
  <c r="O294" i="2"/>
  <c r="P294" i="2" s="1"/>
  <c r="Q294" i="2" s="1"/>
  <c r="O295" i="2"/>
  <c r="P295" i="2" s="1"/>
  <c r="Q295" i="2" s="1"/>
  <c r="O296" i="2"/>
  <c r="P296" i="2" s="1"/>
  <c r="Q296" i="2" s="1"/>
  <c r="O297" i="2"/>
  <c r="P297" i="2" s="1"/>
  <c r="Q297" i="2" s="1"/>
  <c r="O298" i="2"/>
  <c r="P298" i="2" s="1"/>
  <c r="Q298" i="2" s="1"/>
  <c r="O299" i="2"/>
  <c r="P299" i="2" s="1"/>
  <c r="Q299" i="2" s="1"/>
  <c r="O300" i="2"/>
  <c r="P300" i="2" s="1"/>
  <c r="Q300" i="2" s="1"/>
  <c r="O301" i="2"/>
  <c r="P301" i="2" s="1"/>
  <c r="Q301" i="2" s="1"/>
  <c r="O302" i="2"/>
  <c r="P302" i="2" s="1"/>
  <c r="Q302" i="2" s="1"/>
  <c r="O303" i="2"/>
  <c r="P303" i="2" s="1"/>
  <c r="Q303" i="2" s="1"/>
  <c r="O304" i="2"/>
  <c r="P304" i="2" s="1"/>
  <c r="Q304" i="2" s="1"/>
  <c r="O305" i="2"/>
  <c r="P305" i="2" s="1"/>
  <c r="Q305" i="2" s="1"/>
  <c r="O306" i="2"/>
  <c r="P306" i="2" s="1"/>
  <c r="Q306" i="2" s="1"/>
  <c r="O307" i="2"/>
  <c r="P307" i="2" s="1"/>
  <c r="Q307" i="2" s="1"/>
  <c r="O308" i="2"/>
  <c r="P308" i="2" s="1"/>
  <c r="Q308" i="2" s="1"/>
  <c r="O309" i="2"/>
  <c r="P309" i="2" s="1"/>
  <c r="Q309" i="2" s="1"/>
  <c r="O310" i="2"/>
  <c r="P310" i="2" s="1"/>
  <c r="Q310" i="2" s="1"/>
  <c r="O311" i="2"/>
  <c r="O312" i="2"/>
  <c r="P312" i="2" s="1"/>
  <c r="Q312" i="2" s="1"/>
  <c r="O313" i="2"/>
  <c r="P313" i="2" s="1"/>
  <c r="Q313" i="2" s="1"/>
  <c r="O314" i="2"/>
  <c r="P314" i="2" s="1"/>
  <c r="Q314" i="2" s="1"/>
  <c r="O315" i="2"/>
  <c r="P315" i="2" s="1"/>
  <c r="Q315" i="2" s="1"/>
  <c r="O316" i="2"/>
  <c r="P316" i="2" s="1"/>
  <c r="Q316" i="2" s="1"/>
  <c r="O317" i="2"/>
  <c r="P317" i="2" s="1"/>
  <c r="Q317" i="2" s="1"/>
  <c r="O318" i="2"/>
  <c r="P318" i="2" s="1"/>
  <c r="Q318" i="2" s="1"/>
  <c r="O319" i="2"/>
  <c r="P319" i="2" s="1"/>
  <c r="Q319" i="2" s="1"/>
  <c r="O320" i="2"/>
  <c r="O321" i="2"/>
  <c r="P321" i="2" s="1"/>
  <c r="Q321" i="2" s="1"/>
  <c r="O322" i="2"/>
  <c r="P322" i="2" s="1"/>
  <c r="Q322" i="2" s="1"/>
  <c r="O323" i="2"/>
  <c r="P323" i="2" s="1"/>
  <c r="Q323" i="2" s="1"/>
  <c r="O324" i="2"/>
  <c r="P324" i="2" s="1"/>
  <c r="Q324" i="2" s="1"/>
  <c r="O325" i="2"/>
  <c r="P325" i="2" s="1"/>
  <c r="Q325" i="2" s="1"/>
  <c r="O326" i="2"/>
  <c r="P326" i="2" s="1"/>
  <c r="Q326" i="2" s="1"/>
  <c r="O327" i="2"/>
  <c r="P327" i="2" s="1"/>
  <c r="Q327" i="2" s="1"/>
  <c r="O328" i="2"/>
  <c r="P328" i="2" s="1"/>
  <c r="Q328" i="2" s="1"/>
  <c r="O329" i="2"/>
  <c r="P329" i="2" s="1"/>
  <c r="Q329" i="2" s="1"/>
  <c r="O330" i="2"/>
  <c r="P330" i="2" s="1"/>
  <c r="Q330" i="2" s="1"/>
  <c r="O331" i="2"/>
  <c r="P331" i="2" s="1"/>
  <c r="Q331" i="2" s="1"/>
  <c r="O332" i="2"/>
  <c r="P332" i="2" s="1"/>
  <c r="Q332" i="2" s="1"/>
  <c r="O333" i="2"/>
  <c r="P333" i="2" s="1"/>
  <c r="Q333" i="2" s="1"/>
  <c r="O334" i="2"/>
  <c r="P334" i="2" s="1"/>
  <c r="Q334" i="2" s="1"/>
  <c r="O335" i="2"/>
  <c r="P335" i="2" s="1"/>
  <c r="Q335" i="2" s="1"/>
  <c r="O336" i="2"/>
  <c r="P336" i="2" s="1"/>
  <c r="Q336" i="2" s="1"/>
  <c r="O337" i="2"/>
  <c r="P337" i="2" s="1"/>
  <c r="Q337" i="2" s="1"/>
  <c r="O338" i="2"/>
  <c r="P338" i="2" s="1"/>
  <c r="Q338" i="2" s="1"/>
  <c r="O339" i="2"/>
  <c r="P339" i="2" s="1"/>
  <c r="Q339" i="2" s="1"/>
  <c r="O340" i="2"/>
  <c r="P340" i="2" s="1"/>
  <c r="Q340" i="2" s="1"/>
  <c r="O341" i="2"/>
  <c r="P341" i="2" s="1"/>
  <c r="Q341" i="2" s="1"/>
  <c r="O342" i="2"/>
  <c r="P342" i="2" s="1"/>
  <c r="Q342" i="2" s="1"/>
  <c r="O343" i="2"/>
  <c r="P343" i="2" s="1"/>
  <c r="Q343" i="2" s="1"/>
  <c r="O344" i="2"/>
  <c r="P344" i="2" s="1"/>
  <c r="Q344" i="2" s="1"/>
  <c r="O345" i="2"/>
  <c r="P345" i="2" s="1"/>
  <c r="Q345" i="2" s="1"/>
  <c r="O346" i="2"/>
  <c r="P346" i="2" s="1"/>
  <c r="Q346" i="2" s="1"/>
  <c r="O347" i="2"/>
  <c r="P347" i="2" s="1"/>
  <c r="Q347" i="2" s="1"/>
  <c r="O348" i="2"/>
  <c r="P348" i="2" s="1"/>
  <c r="Q348" i="2" s="1"/>
  <c r="O349" i="2"/>
  <c r="P349" i="2" s="1"/>
  <c r="Q349" i="2" s="1"/>
  <c r="O350" i="2"/>
  <c r="P350" i="2" s="1"/>
  <c r="Q350" i="2" s="1"/>
  <c r="O351" i="2"/>
  <c r="P351" i="2" s="1"/>
  <c r="Q351" i="2" s="1"/>
  <c r="O352" i="2"/>
  <c r="P352" i="2" s="1"/>
  <c r="Q352" i="2" s="1"/>
  <c r="O353" i="2"/>
  <c r="P353" i="2" s="1"/>
  <c r="Q353" i="2" s="1"/>
  <c r="O354" i="2"/>
  <c r="P354" i="2" s="1"/>
  <c r="Q354" i="2" s="1"/>
  <c r="O355" i="2"/>
  <c r="P355" i="2" s="1"/>
  <c r="Q355" i="2" s="1"/>
  <c r="O356" i="2"/>
  <c r="O357" i="2"/>
  <c r="P357" i="2" s="1"/>
  <c r="Q357" i="2" s="1"/>
  <c r="O358" i="2"/>
  <c r="P358" i="2" s="1"/>
  <c r="Q358" i="2" s="1"/>
  <c r="O359" i="2"/>
  <c r="P359" i="2" s="1"/>
  <c r="Q359" i="2" s="1"/>
  <c r="O360" i="2"/>
  <c r="O361" i="2"/>
  <c r="P361" i="2" s="1"/>
  <c r="Q361" i="2" s="1"/>
  <c r="O362" i="2"/>
  <c r="P362" i="2" s="1"/>
  <c r="Q362" i="2" s="1"/>
  <c r="O363" i="2"/>
  <c r="P363" i="2" s="1"/>
  <c r="Q363" i="2" s="1"/>
  <c r="O364" i="2"/>
  <c r="P364" i="2" s="1"/>
  <c r="Q364" i="2" s="1"/>
  <c r="O365" i="2"/>
  <c r="P365" i="2" s="1"/>
  <c r="Q365" i="2" s="1"/>
  <c r="O366" i="2"/>
  <c r="P366" i="2" s="1"/>
  <c r="Q366" i="2" s="1"/>
  <c r="O367" i="2"/>
  <c r="P367" i="2" s="1"/>
  <c r="Q367" i="2" s="1"/>
  <c r="O368" i="2"/>
  <c r="P368" i="2" s="1"/>
  <c r="Q368" i="2" s="1"/>
  <c r="O369" i="2"/>
  <c r="P369" i="2" s="1"/>
  <c r="Q369" i="2" s="1"/>
  <c r="O370" i="2"/>
  <c r="P370" i="2" s="1"/>
  <c r="Q370" i="2" s="1"/>
  <c r="O371" i="2"/>
  <c r="P371" i="2" s="1"/>
  <c r="Q371" i="2" s="1"/>
  <c r="O372" i="2"/>
  <c r="P372" i="2" s="1"/>
  <c r="Q372" i="2" s="1"/>
  <c r="O373" i="2"/>
  <c r="P373" i="2" s="1"/>
  <c r="Q373" i="2" s="1"/>
  <c r="O374" i="2"/>
  <c r="P374" i="2" s="1"/>
  <c r="Q374" i="2" s="1"/>
  <c r="O375" i="2"/>
  <c r="P375" i="2" s="1"/>
  <c r="Q375" i="2" s="1"/>
  <c r="O376" i="2"/>
  <c r="P376" i="2" s="1"/>
  <c r="Q376" i="2" s="1"/>
  <c r="O377" i="2"/>
  <c r="P377" i="2" s="1"/>
  <c r="O378" i="2"/>
  <c r="P378" i="2" s="1"/>
  <c r="Q378" i="2" s="1"/>
  <c r="O379" i="2"/>
  <c r="P379" i="2" s="1"/>
  <c r="Q379" i="2" s="1"/>
  <c r="O380" i="2"/>
  <c r="P380" i="2" s="1"/>
  <c r="Q380" i="2" s="1"/>
  <c r="O381" i="2"/>
  <c r="P381" i="2" s="1"/>
  <c r="Q381" i="2" s="1"/>
  <c r="O382" i="2"/>
  <c r="P382" i="2" s="1"/>
  <c r="Q382" i="2" s="1"/>
  <c r="O383" i="2"/>
  <c r="P383" i="2" s="1"/>
  <c r="Q383" i="2" s="1"/>
  <c r="O384" i="2"/>
  <c r="P384" i="2" s="1"/>
  <c r="Q384" i="2" s="1"/>
  <c r="O385" i="2"/>
  <c r="P385" i="2" s="1"/>
  <c r="Q385" i="2" s="1"/>
  <c r="O386" i="2"/>
  <c r="P386" i="2" s="1"/>
  <c r="Q386" i="2" s="1"/>
  <c r="O387" i="2"/>
  <c r="P387" i="2" s="1"/>
  <c r="Q387" i="2" s="1"/>
  <c r="O388" i="2"/>
  <c r="P388" i="2" s="1"/>
  <c r="Q388" i="2" s="1"/>
  <c r="O389" i="2"/>
  <c r="P389" i="2" s="1"/>
  <c r="Q389" i="2" s="1"/>
  <c r="O390" i="2"/>
  <c r="P390" i="2" s="1"/>
  <c r="Q390" i="2" s="1"/>
  <c r="O391" i="2"/>
  <c r="P391" i="2" s="1"/>
  <c r="Q391" i="2" s="1"/>
  <c r="O392" i="2"/>
  <c r="P392" i="2" s="1"/>
  <c r="Q392" i="2" s="1"/>
  <c r="O393" i="2"/>
  <c r="P393" i="2" s="1"/>
  <c r="Q393" i="2" s="1"/>
  <c r="O394" i="2"/>
  <c r="P394" i="2" s="1"/>
  <c r="Q394" i="2" s="1"/>
  <c r="O395" i="2"/>
  <c r="P395" i="2" s="1"/>
  <c r="Q395" i="2" s="1"/>
  <c r="O396" i="2"/>
  <c r="P396" i="2" s="1"/>
  <c r="Q396" i="2" s="1"/>
  <c r="O397" i="2"/>
  <c r="P397" i="2" s="1"/>
  <c r="Q397" i="2" s="1"/>
  <c r="O398" i="2"/>
  <c r="P398" i="2" s="1"/>
  <c r="Q398" i="2" s="1"/>
  <c r="O399" i="2"/>
  <c r="P399" i="2" s="1"/>
  <c r="Q399" i="2" s="1"/>
  <c r="O400" i="2"/>
  <c r="P400" i="2" s="1"/>
  <c r="Q400" i="2" s="1"/>
  <c r="O401" i="2"/>
  <c r="P401" i="2" s="1"/>
  <c r="Q401" i="2" s="1"/>
  <c r="O402" i="2"/>
  <c r="P402" i="2" s="1"/>
  <c r="Q402" i="2" s="1"/>
  <c r="O403" i="2"/>
  <c r="P403" i="2" s="1"/>
  <c r="Q403" i="2" s="1"/>
  <c r="O404" i="2"/>
  <c r="P404" i="2" s="1"/>
  <c r="Q404" i="2" s="1"/>
  <c r="O405" i="2"/>
  <c r="O406" i="2"/>
  <c r="P406" i="2" s="1"/>
  <c r="Q406" i="2" s="1"/>
  <c r="O407" i="2"/>
  <c r="P407" i="2" s="1"/>
  <c r="Q407" i="2" s="1"/>
  <c r="O408" i="2"/>
  <c r="P408" i="2" s="1"/>
  <c r="Q408" i="2" s="1"/>
  <c r="O409" i="2"/>
  <c r="P409" i="2" s="1"/>
  <c r="Q409" i="2" s="1"/>
  <c r="O410" i="2"/>
  <c r="P410" i="2" s="1"/>
  <c r="Q410" i="2" s="1"/>
  <c r="O411" i="2"/>
  <c r="P411" i="2" s="1"/>
  <c r="Q411" i="2" s="1"/>
  <c r="O412" i="2"/>
  <c r="P412" i="2" s="1"/>
  <c r="Q412" i="2" s="1"/>
  <c r="O413" i="2"/>
  <c r="P413" i="2" s="1"/>
  <c r="Q413" i="2" s="1"/>
  <c r="O414" i="2"/>
  <c r="P414" i="2" s="1"/>
  <c r="Q414" i="2" s="1"/>
  <c r="O415" i="2"/>
  <c r="P415" i="2" s="1"/>
  <c r="Q415" i="2" s="1"/>
  <c r="O416" i="2"/>
  <c r="P416" i="2" s="1"/>
  <c r="Q416" i="2" s="1"/>
  <c r="O417" i="2"/>
  <c r="P417" i="2" s="1"/>
  <c r="Q417" i="2" s="1"/>
  <c r="O418" i="2"/>
  <c r="P418" i="2" s="1"/>
  <c r="Q418" i="2" s="1"/>
  <c r="O419" i="2"/>
  <c r="O420" i="2"/>
  <c r="P420" i="2" s="1"/>
  <c r="Q420" i="2" s="1"/>
  <c r="O421" i="2"/>
  <c r="P421" i="2" s="1"/>
  <c r="Q421" i="2" s="1"/>
  <c r="O422" i="2"/>
  <c r="P422" i="2" s="1"/>
  <c r="Q422" i="2" s="1"/>
  <c r="O423" i="2"/>
  <c r="P423" i="2" s="1"/>
  <c r="Q423" i="2" s="1"/>
  <c r="O424" i="2"/>
  <c r="P424" i="2" s="1"/>
  <c r="Q424" i="2" s="1"/>
  <c r="O425" i="2"/>
  <c r="P425" i="2" s="1"/>
  <c r="Q425" i="2" s="1"/>
  <c r="O426" i="2"/>
  <c r="P426" i="2" s="1"/>
  <c r="Q426" i="2" s="1"/>
  <c r="O427" i="2"/>
  <c r="P427" i="2" s="1"/>
  <c r="Q427" i="2" s="1"/>
  <c r="O428" i="2"/>
  <c r="P428" i="2" s="1"/>
  <c r="Q428" i="2" s="1"/>
  <c r="O429" i="2"/>
  <c r="P429" i="2" s="1"/>
  <c r="Q429" i="2" s="1"/>
  <c r="O430" i="2"/>
  <c r="P430" i="2" s="1"/>
  <c r="Q430" i="2" s="1"/>
  <c r="O431" i="2"/>
  <c r="P431" i="2" s="1"/>
  <c r="Q431" i="2" s="1"/>
  <c r="O432" i="2"/>
  <c r="P432" i="2" s="1"/>
  <c r="Q432" i="2" s="1"/>
  <c r="O433" i="2"/>
  <c r="P433" i="2" s="1"/>
  <c r="Q433" i="2" s="1"/>
  <c r="O434" i="2"/>
  <c r="P434" i="2" s="1"/>
  <c r="Q434" i="2" s="1"/>
  <c r="O435" i="2"/>
  <c r="P435" i="2" s="1"/>
  <c r="Q435" i="2" s="1"/>
  <c r="O436" i="2"/>
  <c r="P436" i="2" s="1"/>
  <c r="Q436" i="2" s="1"/>
  <c r="O437" i="2"/>
  <c r="P437" i="2" s="1"/>
  <c r="Q437" i="2" s="1"/>
  <c r="O438" i="2"/>
  <c r="P438" i="2" s="1"/>
  <c r="Q438" i="2" s="1"/>
  <c r="O439" i="2"/>
  <c r="P439" i="2" s="1"/>
  <c r="Q439" i="2" s="1"/>
  <c r="O440" i="2"/>
  <c r="P440" i="2" s="1"/>
  <c r="Q440" i="2" s="1"/>
  <c r="O441" i="2"/>
  <c r="P441" i="2" s="1"/>
  <c r="Q441" i="2" s="1"/>
  <c r="O442" i="2"/>
  <c r="P442" i="2" s="1"/>
  <c r="Q442" i="2" s="1"/>
  <c r="O443" i="2"/>
  <c r="P443" i="2" s="1"/>
  <c r="Q443" i="2" s="1"/>
  <c r="O444" i="2"/>
  <c r="P444" i="2" s="1"/>
  <c r="Q444" i="2" s="1"/>
  <c r="O445" i="2"/>
  <c r="P445" i="2" s="1"/>
  <c r="Q445" i="2" s="1"/>
  <c r="O446" i="2"/>
  <c r="P446" i="2" s="1"/>
  <c r="Q446" i="2" s="1"/>
  <c r="O447" i="2"/>
  <c r="P447" i="2" s="1"/>
  <c r="Q447" i="2" s="1"/>
  <c r="O448" i="2"/>
  <c r="P448" i="2" s="1"/>
  <c r="Q448" i="2" s="1"/>
  <c r="O449" i="2"/>
  <c r="P449" i="2" s="1"/>
  <c r="Q449" i="2" s="1"/>
  <c r="O450" i="2"/>
  <c r="P450" i="2" s="1"/>
  <c r="Q450" i="2" s="1"/>
  <c r="O451" i="2"/>
  <c r="P451" i="2" s="1"/>
  <c r="Q451" i="2" s="1"/>
  <c r="O452" i="2"/>
  <c r="P452" i="2" s="1"/>
  <c r="Q452" i="2" s="1"/>
  <c r="O453" i="2"/>
  <c r="P453" i="2" s="1"/>
  <c r="Q453" i="2" s="1"/>
  <c r="O454" i="2"/>
  <c r="P454" i="2" s="1"/>
  <c r="Q454" i="2" s="1"/>
  <c r="O455" i="2"/>
  <c r="P455" i="2" s="1"/>
  <c r="Q455" i="2" s="1"/>
  <c r="O456" i="2"/>
  <c r="P456" i="2" s="1"/>
  <c r="Q456" i="2" s="1"/>
  <c r="O457" i="2"/>
  <c r="P457" i="2" s="1"/>
  <c r="Q457" i="2" s="1"/>
  <c r="O458" i="2"/>
  <c r="P458" i="2" s="1"/>
  <c r="Q458" i="2" s="1"/>
  <c r="O459" i="2"/>
  <c r="P459" i="2" s="1"/>
  <c r="Q459" i="2" s="1"/>
  <c r="O460" i="2"/>
  <c r="P460" i="2" s="1"/>
  <c r="Q460" i="2" s="1"/>
  <c r="O461" i="2"/>
  <c r="P461" i="2" s="1"/>
  <c r="Q461" i="2" s="1"/>
  <c r="O462" i="2"/>
  <c r="P462" i="2" s="1"/>
  <c r="Q462" i="2" s="1"/>
  <c r="O463" i="2"/>
  <c r="P463" i="2" s="1"/>
  <c r="Q463" i="2" s="1"/>
  <c r="O464" i="2"/>
  <c r="O465" i="2"/>
  <c r="P465" i="2" s="1"/>
  <c r="Q465" i="2" s="1"/>
  <c r="O466" i="2"/>
  <c r="P466" i="2" s="1"/>
  <c r="Q466" i="2" s="1"/>
  <c r="O467" i="2"/>
  <c r="P467" i="2" s="1"/>
  <c r="Q467" i="2" s="1"/>
  <c r="O468" i="2"/>
  <c r="P468" i="2" s="1"/>
  <c r="Q468" i="2" s="1"/>
  <c r="O469" i="2"/>
  <c r="P469" i="2" s="1"/>
  <c r="Q469" i="2" s="1"/>
  <c r="O470" i="2"/>
  <c r="P470" i="2" s="1"/>
  <c r="Q470" i="2" s="1"/>
  <c r="O471" i="2"/>
  <c r="P471" i="2" s="1"/>
  <c r="Q471" i="2" s="1"/>
  <c r="O472" i="2"/>
  <c r="P472" i="2" s="1"/>
  <c r="Q472" i="2" s="1"/>
  <c r="O473" i="2"/>
  <c r="P473" i="2" s="1"/>
  <c r="Q473" i="2" s="1"/>
  <c r="O474" i="2"/>
  <c r="P474" i="2" s="1"/>
  <c r="Q474" i="2" s="1"/>
  <c r="O475" i="2"/>
  <c r="P475" i="2" s="1"/>
  <c r="Q475" i="2" s="1"/>
  <c r="O476" i="2"/>
  <c r="P476" i="2" s="1"/>
  <c r="Q476" i="2" s="1"/>
  <c r="O477" i="2"/>
  <c r="P477" i="2" s="1"/>
  <c r="Q477" i="2" s="1"/>
  <c r="O478" i="2"/>
  <c r="P478" i="2" s="1"/>
  <c r="Q478" i="2" s="1"/>
  <c r="O479" i="2"/>
  <c r="P479" i="2" s="1"/>
  <c r="Q479" i="2" s="1"/>
  <c r="O480" i="2"/>
  <c r="P480" i="2" s="1"/>
  <c r="Q480" i="2" s="1"/>
  <c r="O481" i="2"/>
  <c r="P481" i="2" s="1"/>
  <c r="Q481" i="2" s="1"/>
  <c r="O482" i="2"/>
  <c r="P482" i="2" s="1"/>
  <c r="Q482" i="2" s="1"/>
  <c r="O483" i="2"/>
  <c r="P483" i="2" s="1"/>
  <c r="Q483" i="2" s="1"/>
  <c r="O484" i="2"/>
  <c r="P484" i="2" s="1"/>
  <c r="Q484" i="2" s="1"/>
  <c r="O485" i="2"/>
  <c r="P485" i="2" s="1"/>
  <c r="Q485" i="2" s="1"/>
  <c r="O486" i="2"/>
  <c r="P486" i="2" s="1"/>
  <c r="Q486" i="2" s="1"/>
  <c r="O487" i="2"/>
  <c r="P487" i="2" s="1"/>
  <c r="Q487" i="2" s="1"/>
  <c r="O488" i="2"/>
  <c r="P488" i="2" s="1"/>
  <c r="Q488" i="2" s="1"/>
  <c r="O489" i="2"/>
  <c r="O490" i="2"/>
  <c r="P490" i="2" s="1"/>
  <c r="Q490" i="2" s="1"/>
  <c r="O491" i="2"/>
  <c r="P491" i="2" s="1"/>
  <c r="Q491" i="2" s="1"/>
  <c r="O492" i="2"/>
  <c r="P492" i="2" s="1"/>
  <c r="Q492" i="2" s="1"/>
  <c r="O493" i="2"/>
  <c r="P493" i="2" s="1"/>
  <c r="Q493" i="2" s="1"/>
  <c r="O494" i="2"/>
  <c r="P494" i="2" s="1"/>
  <c r="Q494" i="2" s="1"/>
  <c r="O495" i="2"/>
  <c r="P495" i="2" s="1"/>
  <c r="Q495" i="2" s="1"/>
  <c r="O496" i="2"/>
  <c r="P496" i="2" s="1"/>
  <c r="Q496" i="2" s="1"/>
  <c r="O497" i="2"/>
  <c r="O498" i="2"/>
  <c r="P498" i="2" s="1"/>
  <c r="Q498" i="2" s="1"/>
  <c r="O499" i="2"/>
  <c r="P499" i="2" s="1"/>
  <c r="Q499" i="2" s="1"/>
  <c r="O500" i="2"/>
  <c r="P500" i="2" s="1"/>
  <c r="Q500" i="2" s="1"/>
  <c r="O501" i="2"/>
  <c r="P501" i="2" s="1"/>
  <c r="Q501" i="2" s="1"/>
  <c r="P47" i="2"/>
  <c r="Q47" i="2" s="1"/>
  <c r="P48" i="2"/>
  <c r="Q48" i="2" s="1"/>
  <c r="P49" i="2"/>
  <c r="Q49" i="2" s="1"/>
  <c r="P74" i="2"/>
  <c r="Q74" i="2" s="1"/>
  <c r="P75" i="2"/>
  <c r="Q75" i="2" s="1"/>
  <c r="P80" i="2"/>
  <c r="Q80" i="2" s="1"/>
  <c r="P83" i="2"/>
  <c r="Q83" i="2" s="1"/>
  <c r="P111" i="2"/>
  <c r="Q111" i="2" s="1"/>
  <c r="P125" i="2"/>
  <c r="Q125" i="2" s="1"/>
  <c r="P139" i="2"/>
  <c r="Q139" i="2" s="1"/>
  <c r="P143" i="2"/>
  <c r="Q143" i="2" s="1"/>
  <c r="P153" i="2"/>
  <c r="Q153" i="2" s="1"/>
  <c r="P157" i="2"/>
  <c r="Q157" i="2" s="1"/>
  <c r="P168" i="2"/>
  <c r="Q168" i="2" s="1"/>
  <c r="P179" i="2"/>
  <c r="Q179" i="2" s="1"/>
  <c r="P191" i="2"/>
  <c r="Q191" i="2" s="1"/>
  <c r="P192" i="2"/>
  <c r="Q192" i="2" s="1"/>
  <c r="P260" i="2"/>
  <c r="Q260" i="2" s="1"/>
  <c r="P269" i="2"/>
  <c r="Q269" i="2" s="1"/>
  <c r="P272" i="2"/>
  <c r="Q272" i="2" s="1"/>
  <c r="P275" i="2"/>
  <c r="Q275" i="2" s="1"/>
  <c r="P311" i="2"/>
  <c r="Q311" i="2" s="1"/>
  <c r="P320" i="2"/>
  <c r="Q320" i="2" s="1"/>
  <c r="P356" i="2"/>
  <c r="Q356" i="2" s="1"/>
  <c r="P360" i="2"/>
  <c r="Q360" i="2" s="1"/>
  <c r="P405" i="2"/>
  <c r="Q405" i="2" s="1"/>
  <c r="P419" i="2"/>
  <c r="Q419" i="2" s="1"/>
  <c r="P464" i="2"/>
  <c r="Q464" i="2" s="1"/>
  <c r="P489" i="2"/>
  <c r="Q489" i="2" s="1"/>
  <c r="P497" i="2"/>
  <c r="Q497" i="2" s="1"/>
  <c r="Q17" i="2"/>
  <c r="Q377" i="2"/>
  <c r="B1" i="4"/>
  <c r="A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CBCAA-1910-46CB-BC26-116F66FF1198}" keepAlive="1" name="Запит – players" description="Підключення до запита &quot;players&quot; у книзі." type="5" refreshedVersion="8" background="1" saveData="1">
    <dbPr connection="Provider=Microsoft.Mashup.OleDb.1;Data Source=$Workbook$;Location=players;Extended Properties=&quot;&quot;" command="SELECT * FROM [players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<sst xmlns="http://schemas.openxmlformats.org/spreadsheetml/2006/main" count="2109" uniqueCount="690">
  <si>
    <t>Column1</t>
  </si>
  <si>
    <t>Name</t>
  </si>
  <si>
    <t>Position</t>
  </si>
  <si>
    <t>Age</t>
  </si>
  <si>
    <t>Markey Value In Millions(£)</t>
  </si>
  <si>
    <t>Country</t>
  </si>
  <si>
    <t>Club</t>
  </si>
  <si>
    <t>Matches</t>
  </si>
  <si>
    <t>Goals</t>
  </si>
  <si>
    <t>Own Goals</t>
  </si>
  <si>
    <t>Assists</t>
  </si>
  <si>
    <t>Yellow Cards</t>
  </si>
  <si>
    <t>Second Yellow Cards</t>
  </si>
  <si>
    <t>Red Cards</t>
  </si>
  <si>
    <t>Number Of Substitute In</t>
  </si>
  <si>
    <t>Number Of Substitute Out</t>
  </si>
  <si>
    <t>Kylian Mbappé</t>
  </si>
  <si>
    <t>Centre-Forward</t>
  </si>
  <si>
    <t>France</t>
  </si>
  <si>
    <t>Paris Saint-Germain</t>
  </si>
  <si>
    <t>Erling Haaland</t>
  </si>
  <si>
    <t>Norway</t>
  </si>
  <si>
    <t>Borussia Dortmund</t>
  </si>
  <si>
    <t>Harry Kane</t>
  </si>
  <si>
    <t>England</t>
  </si>
  <si>
    <t>Tottenham Hotspur</t>
  </si>
  <si>
    <t>Jack Grealish</t>
  </si>
  <si>
    <t>Left Winger</t>
  </si>
  <si>
    <t>Manchester City</t>
  </si>
  <si>
    <t>Mohamed Salah</t>
  </si>
  <si>
    <t>Right Winger</t>
  </si>
  <si>
    <t>Egypt</t>
  </si>
  <si>
    <t>Liverpool FC</t>
  </si>
  <si>
    <t>Romelu Lukaku</t>
  </si>
  <si>
    <t>Belgium</t>
  </si>
  <si>
    <t>Chelsea FC</t>
  </si>
  <si>
    <t>Kevin De Bruyne</t>
  </si>
  <si>
    <t>Attacking Midfield</t>
  </si>
  <si>
    <t>Neymar</t>
  </si>
  <si>
    <t>Brazil</t>
  </si>
  <si>
    <t>Jadon Sancho</t>
  </si>
  <si>
    <t>Manchester United</t>
  </si>
  <si>
    <t>Frenkie de Jong</t>
  </si>
  <si>
    <t>Central Midfield</t>
  </si>
  <si>
    <t>Netherlands</t>
  </si>
  <si>
    <t>FC Barcelona</t>
  </si>
  <si>
    <t>Bruno Fernandes</t>
  </si>
  <si>
    <t>Portugal</t>
  </si>
  <si>
    <t>Joshua Kimmich</t>
  </si>
  <si>
    <t>Defensive Midfield</t>
  </si>
  <si>
    <t>Germany</t>
  </si>
  <si>
    <t>Bayern Munich</t>
  </si>
  <si>
    <t>Raheem Sterling</t>
  </si>
  <si>
    <t>Marcus Rashford</t>
  </si>
  <si>
    <t>Sadio Mané</t>
  </si>
  <si>
    <t>Senegal</t>
  </si>
  <si>
    <t>Heung-min Son</t>
  </si>
  <si>
    <t>Korea, South</t>
  </si>
  <si>
    <t>Pedri</t>
  </si>
  <si>
    <t>Spain</t>
  </si>
  <si>
    <t>Phil Foden</t>
  </si>
  <si>
    <t>Lautaro Martínez</t>
  </si>
  <si>
    <t>Argentina</t>
  </si>
  <si>
    <t>Inter Milan</t>
  </si>
  <si>
    <t>Marcos Llorente</t>
  </si>
  <si>
    <t>Atlético de Madrid</t>
  </si>
  <si>
    <t>Lionel Messi</t>
  </si>
  <si>
    <t>Mason Mount</t>
  </si>
  <si>
    <t>Trent Alexander-Arnold</t>
  </si>
  <si>
    <t>Right-Back</t>
  </si>
  <si>
    <t>Rúben Dias</t>
  </si>
  <si>
    <t>Centre-Back</t>
  </si>
  <si>
    <t>Marquinhos</t>
  </si>
  <si>
    <t>Jude Bellingham</t>
  </si>
  <si>
    <t>João Félix</t>
  </si>
  <si>
    <t>Second Striker</t>
  </si>
  <si>
    <t>Alphonso Davies</t>
  </si>
  <si>
    <t>Left-Back</t>
  </si>
  <si>
    <t>Canada</t>
  </si>
  <si>
    <t>Achraf Hakimi</t>
  </si>
  <si>
    <t>Morocco</t>
  </si>
  <si>
    <t>Declan Rice</t>
  </si>
  <si>
    <t>West Ham United</t>
  </si>
  <si>
    <t>Rodri</t>
  </si>
  <si>
    <t>Mikel Oyarzabal</t>
  </si>
  <si>
    <t>Real Sociedad</t>
  </si>
  <si>
    <t>Federico Chiesa</t>
  </si>
  <si>
    <t>Italy</t>
  </si>
  <si>
    <t>Juventus FC</t>
  </si>
  <si>
    <t>Matthijs de Ligt</t>
  </si>
  <si>
    <t>Kai Havertz</t>
  </si>
  <si>
    <t>Sergej Milinković-Savić</t>
  </si>
  <si>
    <t>Serbia</t>
  </si>
  <si>
    <t>SS Lazio</t>
  </si>
  <si>
    <t>Bernardo Silva</t>
  </si>
  <si>
    <t>Raphaël Varane</t>
  </si>
  <si>
    <t>Serge Gnabry</t>
  </si>
  <si>
    <t>Leon Goretzka</t>
  </si>
  <si>
    <t>Jan Oblak</t>
  </si>
  <si>
    <t>Goalkeeper</t>
  </si>
  <si>
    <t>Slovenia</t>
  </si>
  <si>
    <t>Casemiro</t>
  </si>
  <si>
    <t>Real Madrid</t>
  </si>
  <si>
    <t>Florian Wirtz</t>
  </si>
  <si>
    <t>Bayer 04 Leverkusen</t>
  </si>
  <si>
    <t>Bukayo Saka</t>
  </si>
  <si>
    <t>Left Midfield</t>
  </si>
  <si>
    <t>Arsenal FC</t>
  </si>
  <si>
    <t>Federico Valverde</t>
  </si>
  <si>
    <t>Uruguay</t>
  </si>
  <si>
    <t>Gianluigi Donnarumma</t>
  </si>
  <si>
    <t>Nicolò Barella</t>
  </si>
  <si>
    <t>Andrew Robertson</t>
  </si>
  <si>
    <t>Scotland</t>
  </si>
  <si>
    <t>Ansu Fati</t>
  </si>
  <si>
    <t>Jules Koundé</t>
  </si>
  <si>
    <t>Sevilla FC</t>
  </si>
  <si>
    <t>Victor Osimhen</t>
  </si>
  <si>
    <t>Nigeria</t>
  </si>
  <si>
    <t>SSC Napoli</t>
  </si>
  <si>
    <t>Gabriel Jesus</t>
  </si>
  <si>
    <t>Dayot Upamecano</t>
  </si>
  <si>
    <t>Alessandro Bastoni</t>
  </si>
  <si>
    <t>Wilfred Ndidi</t>
  </si>
  <si>
    <t>Leicester City</t>
  </si>
  <si>
    <t>José María Giménez</t>
  </si>
  <si>
    <t>Fabinho</t>
  </si>
  <si>
    <t>Milan Skriniar</t>
  </si>
  <si>
    <t>Slovakia</t>
  </si>
  <si>
    <t>Leroy Sané</t>
  </si>
  <si>
    <t>Paul Pogba</t>
  </si>
  <si>
    <t>Thibaut Courtois</t>
  </si>
  <si>
    <t>Alisson</t>
  </si>
  <si>
    <t>Koke</t>
  </si>
  <si>
    <t>Robert Lewandowski</t>
  </si>
  <si>
    <t>Poland</t>
  </si>
  <si>
    <t>Eduardo Camavinga</t>
  </si>
  <si>
    <t>Richarlison</t>
  </si>
  <si>
    <t>Everton FC</t>
  </si>
  <si>
    <t>Franck Kessié</t>
  </si>
  <si>
    <t>Cote d'Ivoire</t>
  </si>
  <si>
    <t>AC Milan</t>
  </si>
  <si>
    <t>Youri Tielemans</t>
  </si>
  <si>
    <t>Kingsley Coman</t>
  </si>
  <si>
    <t>N'Golo Kanté</t>
  </si>
  <si>
    <t>João Cancelo</t>
  </si>
  <si>
    <t>Timo Werner</t>
  </si>
  <si>
    <t>Virgil van Dijk</t>
  </si>
  <si>
    <t>Marco Verratti</t>
  </si>
  <si>
    <t>Marc-André ter Stegen</t>
  </si>
  <si>
    <t>David Alaba</t>
  </si>
  <si>
    <t>Austria</t>
  </si>
  <si>
    <t>Jamal Musiala</t>
  </si>
  <si>
    <t>Mason Greenwood</t>
  </si>
  <si>
    <t>Pau Torres</t>
  </si>
  <si>
    <t>Villarreal CF</t>
  </si>
  <si>
    <t>Ferran Torres</t>
  </si>
  <si>
    <t>Vinícius Júnior</t>
  </si>
  <si>
    <t>Dušan Vlahovic</t>
  </si>
  <si>
    <t>ACF Fiorentina</t>
  </si>
  <si>
    <t>Theo Hernández</t>
  </si>
  <si>
    <t>Christian Pulisic</t>
  </si>
  <si>
    <t>United States</t>
  </si>
  <si>
    <t>James Maddison</t>
  </si>
  <si>
    <t>Dani Olmo</t>
  </si>
  <si>
    <t>RB Leipzig</t>
  </si>
  <si>
    <t>Ferland Mendy</t>
  </si>
  <si>
    <t>Ousmane Dembélé</t>
  </si>
  <si>
    <t>Ederson</t>
  </si>
  <si>
    <t>Paulo Dybala</t>
  </si>
  <si>
    <t>Piotr Zielinski</t>
  </si>
  <si>
    <t>Harry Maguire</t>
  </si>
  <si>
    <t>Antoine Griezmann</t>
  </si>
  <si>
    <t>Stefan de Vrij</t>
  </si>
  <si>
    <t>Lorenzo Insigne</t>
  </si>
  <si>
    <t>Kalidou Koulibaly</t>
  </si>
  <si>
    <t>Christopher Nkunku</t>
  </si>
  <si>
    <t>Reece James</t>
  </si>
  <si>
    <t>Tanguy Ndombélé</t>
  </si>
  <si>
    <t>Fabián Ruiz</t>
  </si>
  <si>
    <t>Diogo Jota</t>
  </si>
  <si>
    <t>Diego Carlos</t>
  </si>
  <si>
    <t>Caglar Söyüncü</t>
  </si>
  <si>
    <t>Turkey</t>
  </si>
  <si>
    <t>Hirving Lozano</t>
  </si>
  <si>
    <t>Mexico</t>
  </si>
  <si>
    <t>Dominic Calvert-Lewin</t>
  </si>
  <si>
    <t>Lorenzo Pellegrini</t>
  </si>
  <si>
    <t>AS Roma</t>
  </si>
  <si>
    <t>Lucas Hernández</t>
  </si>
  <si>
    <t>Aymeric Laporte</t>
  </si>
  <si>
    <t>Memphis Depay</t>
  </si>
  <si>
    <t>Wilfried Zaha</t>
  </si>
  <si>
    <t>Crystal Palace</t>
  </si>
  <si>
    <t>Álvaro Morata</t>
  </si>
  <si>
    <t>Jorginho</t>
  </si>
  <si>
    <t>Mateo Kovacic</t>
  </si>
  <si>
    <t>Croatia</t>
  </si>
  <si>
    <t>Cristiano Ronaldo</t>
  </si>
  <si>
    <t>Giovanni Reyna</t>
  </si>
  <si>
    <t>Moussa Diaby</t>
  </si>
  <si>
    <t>Tomas Soucek</t>
  </si>
  <si>
    <t>Czech Republic</t>
  </si>
  <si>
    <t>Rúben Neves</t>
  </si>
  <si>
    <t>Wolverhampton Wanderers</t>
  </si>
  <si>
    <t>Luke Shaw</t>
  </si>
  <si>
    <t>Riyad Mahrez</t>
  </si>
  <si>
    <t>Algeria</t>
  </si>
  <si>
    <t>Nuno Mendes</t>
  </si>
  <si>
    <t>Edmond Tapsoba</t>
  </si>
  <si>
    <t>Burkina Faso</t>
  </si>
  <si>
    <t>Aaron Wan-Bissaka</t>
  </si>
  <si>
    <t>Wesley Fofana</t>
  </si>
  <si>
    <t>Youssef En-Nesyri</t>
  </si>
  <si>
    <t>Éder Militão</t>
  </si>
  <si>
    <t>Nicolò Zaniolo</t>
  </si>
  <si>
    <t>Carlos Soler</t>
  </si>
  <si>
    <t>Valencia CF</t>
  </si>
  <si>
    <t>Kalvin Phillips</t>
  </si>
  <si>
    <t>Leeds United</t>
  </si>
  <si>
    <t>Alexander Isak</t>
  </si>
  <si>
    <t>Sweden</t>
  </si>
  <si>
    <t>Mikel Merino</t>
  </si>
  <si>
    <t>Ben White</t>
  </si>
  <si>
    <t>Martin Ødegaard</t>
  </si>
  <si>
    <t>Fikayo Tomori</t>
  </si>
  <si>
    <t>Presnel Kimpembe</t>
  </si>
  <si>
    <t>Ángel Correa</t>
  </si>
  <si>
    <t>Rodrigo de Paul</t>
  </si>
  <si>
    <t>Thomas Partey</t>
  </si>
  <si>
    <t>Ghana</t>
  </si>
  <si>
    <t>Thomas Lemar</t>
  </si>
  <si>
    <t>André Silva</t>
  </si>
  <si>
    <t>Gerard Moreno</t>
  </si>
  <si>
    <t>Raphaël Guerreiro</t>
  </si>
  <si>
    <t>Pierre-Emile Höjbjerg</t>
  </si>
  <si>
    <t>Denmark</t>
  </si>
  <si>
    <t>Marcelo Brozovic</t>
  </si>
  <si>
    <t>Saúl Ñíguez</t>
  </si>
  <si>
    <t>Yannick Carrasco</t>
  </si>
  <si>
    <t>Roberto Firmino</t>
  </si>
  <si>
    <t>Luis Alberto</t>
  </si>
  <si>
    <t>Ilkay Gündogan</t>
  </si>
  <si>
    <t>Ismaël Bennacer</t>
  </si>
  <si>
    <t>Tammy Abraham</t>
  </si>
  <si>
    <t>Ben Chilwell</t>
  </si>
  <si>
    <t>Hakim Ziyech</t>
  </si>
  <si>
    <t>Ciro Immobile</t>
  </si>
  <si>
    <t>Jonathan David</t>
  </si>
  <si>
    <t>LOSC Lille</t>
  </si>
  <si>
    <t>Pedro Neto</t>
  </si>
  <si>
    <t>Douglas Luiz</t>
  </si>
  <si>
    <t>Aston Villa</t>
  </si>
  <si>
    <t>Lucas Paquetá</t>
  </si>
  <si>
    <t>Olympique Lyon</t>
  </si>
  <si>
    <t>Dejan Kulusevski</t>
  </si>
  <si>
    <t>Amine Gouiri</t>
  </si>
  <si>
    <t>OGC Nice</t>
  </si>
  <si>
    <t>Aurélien Tchouaméni</t>
  </si>
  <si>
    <t>AS Monaco</t>
  </si>
  <si>
    <t>Rodrygo</t>
  </si>
  <si>
    <t>Harvey Barnes</t>
  </si>
  <si>
    <t>Houssem Aouar</t>
  </si>
  <si>
    <t>Leon Bailey</t>
  </si>
  <si>
    <t>Jamaica</t>
  </si>
  <si>
    <t>Moise Kean</t>
  </si>
  <si>
    <t>Arthur</t>
  </si>
  <si>
    <t>Ibrahima Konaté</t>
  </si>
  <si>
    <t>Cristian Romero</t>
  </si>
  <si>
    <t>Benjamin Pavard</t>
  </si>
  <si>
    <t>Nicolas Pépé</t>
  </si>
  <si>
    <t>Emiliano Buendía</t>
  </si>
  <si>
    <t>Scott McTominay</t>
  </si>
  <si>
    <t>Marco Asensio</t>
  </si>
  <si>
    <t>Mario Hermoso</t>
  </si>
  <si>
    <t>Angeliño</t>
  </si>
  <si>
    <t>Robin Gosens</t>
  </si>
  <si>
    <t>Atalanta BC</t>
  </si>
  <si>
    <t>Manuel Locatelli</t>
  </si>
  <si>
    <t>José Gayà</t>
  </si>
  <si>
    <t>Andreas Christensen</t>
  </si>
  <si>
    <t>Anthony Martial</t>
  </si>
  <si>
    <t>Domenico Berardi</t>
  </si>
  <si>
    <t>US Sassuolo</t>
  </si>
  <si>
    <t>Andrea Belotti</t>
  </si>
  <si>
    <t>Torino FC</t>
  </si>
  <si>
    <t>Niklas Süle</t>
  </si>
  <si>
    <t>Wissam Ben Yedder</t>
  </si>
  <si>
    <t>Lucas Digne</t>
  </si>
  <si>
    <t>Emiliano Martínez</t>
  </si>
  <si>
    <t>Antonio Rüdiger</t>
  </si>
  <si>
    <t>Mauro Icardi</t>
  </si>
  <si>
    <t>Ryan Gravenberch</t>
  </si>
  <si>
    <t>Ajax Amsterdam</t>
  </si>
  <si>
    <t>Jordan Veretout</t>
  </si>
  <si>
    <t>Duván Zapata</t>
  </si>
  <si>
    <t>Colombia</t>
  </si>
  <si>
    <t>Raphinha</t>
  </si>
  <si>
    <t>Callum Hudson-Odoi</t>
  </si>
  <si>
    <t>Davinson Sánchez</t>
  </si>
  <si>
    <t>Ollie Watkins</t>
  </si>
  <si>
    <t>Naby Keïta</t>
  </si>
  <si>
    <t>Guinea</t>
  </si>
  <si>
    <t>Kieran Tierney</t>
  </si>
  <si>
    <t>Ivan Toney</t>
  </si>
  <si>
    <t>Brentford FC</t>
  </si>
  <si>
    <t>Ante Rebic</t>
  </si>
  <si>
    <t>James Ward-Prowse</t>
  </si>
  <si>
    <t>Southampton FC</t>
  </si>
  <si>
    <t>Nathan Aké</t>
  </si>
  <si>
    <t>Kurt Zouma</t>
  </si>
  <si>
    <t>Marcel Sabitzer</t>
  </si>
  <si>
    <t>Yéremy Pino</t>
  </si>
  <si>
    <t>Bryan Gil</t>
  </si>
  <si>
    <t>Bruno Guimarães</t>
  </si>
  <si>
    <t>Matheus Cunha</t>
  </si>
  <si>
    <t>Edouard Mendy</t>
  </si>
  <si>
    <t>Curtis Jones</t>
  </si>
  <si>
    <t>Sergiño Dest</t>
  </si>
  <si>
    <t>Rodrigo Bentancur</t>
  </si>
  <si>
    <t>Donyell Malen</t>
  </si>
  <si>
    <t>Jarrod Bowen</t>
  </si>
  <si>
    <t>Nikola Vlasic</t>
  </si>
  <si>
    <t>Manuel Akanji</t>
  </si>
  <si>
    <t>Switzerland</t>
  </si>
  <si>
    <t>Allan Saint-Maximin</t>
  </si>
  <si>
    <t>Newcastle United</t>
  </si>
  <si>
    <t>Joan Jordán</t>
  </si>
  <si>
    <t>Renato Sanches</t>
  </si>
  <si>
    <t>Gianluca Mancini</t>
  </si>
  <si>
    <t>Joe Gomez</t>
  </si>
  <si>
    <t>Tyrone Mings</t>
  </si>
  <si>
    <t>Wout Weghorst</t>
  </si>
  <si>
    <t>VfL Wolfsburg</t>
  </si>
  <si>
    <t>Joaquín Correa</t>
  </si>
  <si>
    <t>Ricardo Pereira</t>
  </si>
  <si>
    <t>Dele Alli</t>
  </si>
  <si>
    <t>Ruslan Malinovskyi</t>
  </si>
  <si>
    <t>Ukraine</t>
  </si>
  <si>
    <t>Adama Traoré</t>
  </si>
  <si>
    <t>John McGinn</t>
  </si>
  <si>
    <t>Lucas Ocampos</t>
  </si>
  <si>
    <t>John Stones</t>
  </si>
  <si>
    <t>Adrien Rabiot</t>
  </si>
  <si>
    <t>Leander Dendoncker</t>
  </si>
  <si>
    <t>Matteo Politano</t>
  </si>
  <si>
    <t>Hakan Calhanoglu</t>
  </si>
  <si>
    <t>Jesús Corona</t>
  </si>
  <si>
    <t>Right Midfield</t>
  </si>
  <si>
    <t>FC Porto</t>
  </si>
  <si>
    <t>Luis Muriel</t>
  </si>
  <si>
    <t>Kevin Volland</t>
  </si>
  <si>
    <t>Thomas Müller</t>
  </si>
  <si>
    <t>Georginio Wijnaldum</t>
  </si>
  <si>
    <t>Toni Kroos</t>
  </si>
  <si>
    <t>Benoît Badiashile</t>
  </si>
  <si>
    <t>Maxence Lacroix</t>
  </si>
  <si>
    <t>Boubacar Kamara</t>
  </si>
  <si>
    <t>Olympique Marseille</t>
  </si>
  <si>
    <t>Emile Smith Rowe</t>
  </si>
  <si>
    <t>Evan N'Dicka</t>
  </si>
  <si>
    <t>Eintracht Frankfurt</t>
  </si>
  <si>
    <t>Sven Botman</t>
  </si>
  <si>
    <t>Boubakary Soumaré</t>
  </si>
  <si>
    <t>Merih Demiral</t>
  </si>
  <si>
    <t>Marcus Thuram</t>
  </si>
  <si>
    <t>Borussia Mönchengladbach</t>
  </si>
  <si>
    <t>Florian Neuhaus</t>
  </si>
  <si>
    <t>Aleksandr Golovin</t>
  </si>
  <si>
    <t>Russia</t>
  </si>
  <si>
    <t>Timothy Castagne</t>
  </si>
  <si>
    <t>Patrik Schick</t>
  </si>
  <si>
    <t>Nélson Semedo</t>
  </si>
  <si>
    <t>Raúl Jiménez</t>
  </si>
  <si>
    <t>Oleksandr Zinchenko</t>
  </si>
  <si>
    <t>Kyle Walker</t>
  </si>
  <si>
    <t>Ismaïla Sarr</t>
  </si>
  <si>
    <t>Watford FC</t>
  </si>
  <si>
    <t>Sandro Tonali</t>
  </si>
  <si>
    <t>Denis Zakaria</t>
  </si>
  <si>
    <t>Xaver Schlager</t>
  </si>
  <si>
    <t>Lukas Klostermann</t>
  </si>
  <si>
    <t>Sébastien Haller</t>
  </si>
  <si>
    <t>Matthias Ginter</t>
  </si>
  <si>
    <t>Thorgan Hazard</t>
  </si>
  <si>
    <t>Jérémy Doku</t>
  </si>
  <si>
    <t>Stade Rennais FC</t>
  </si>
  <si>
    <t>Gabriel Barbosa</t>
  </si>
  <si>
    <t>Clube de Regatas do Flamengo</t>
  </si>
  <si>
    <t>Konrad Laimer</t>
  </si>
  <si>
    <t>Emre Can</t>
  </si>
  <si>
    <t>Leonardo Spinazzola</t>
  </si>
  <si>
    <t>Gavi</t>
  </si>
  <si>
    <t>Ilaix Moriba</t>
  </si>
  <si>
    <t>Silas Katompa Mvumpa</t>
  </si>
  <si>
    <t>DR Congo</t>
  </si>
  <si>
    <t>VfB Stuttgart</t>
  </si>
  <si>
    <t>Antony</t>
  </si>
  <si>
    <t>Roger Ibañez</t>
  </si>
  <si>
    <t>Fábio Silva</t>
  </si>
  <si>
    <t>Lisandro Martínez</t>
  </si>
  <si>
    <t>Luis Díaz</t>
  </si>
  <si>
    <t>Ronald Araújo</t>
  </si>
  <si>
    <t>Renan Lodi</t>
  </si>
  <si>
    <t>Emerson Royal</t>
  </si>
  <si>
    <t>Dominik Szoboszlai</t>
  </si>
  <si>
    <t>Hungary</t>
  </si>
  <si>
    <t>Charles De Ketelaere</t>
  </si>
  <si>
    <t>Club Brugge KV</t>
  </si>
  <si>
    <t>Gabriel</t>
  </si>
  <si>
    <t>Pedro Gonçalves</t>
  </si>
  <si>
    <t>Sporting CP</t>
  </si>
  <si>
    <t>Nikola Milenkovic</t>
  </si>
  <si>
    <t>Ezri Konsa</t>
  </si>
  <si>
    <t>Yves Bissouma</t>
  </si>
  <si>
    <t>Mali</t>
  </si>
  <si>
    <t>Brighton &amp; Hove Albion</t>
  </si>
  <si>
    <t>Maxi Gómez</t>
  </si>
  <si>
    <t>Rafael Leão</t>
  </si>
  <si>
    <t>Daichi Kamada</t>
  </si>
  <si>
    <t>Japan</t>
  </si>
  <si>
    <t>Arnaut Danjuma</t>
  </si>
  <si>
    <t>André Zambo Anguissa</t>
  </si>
  <si>
    <t>Cameroon</t>
  </si>
  <si>
    <t>Robin Le Normand</t>
  </si>
  <si>
    <t>Nordi Mukiele</t>
  </si>
  <si>
    <t>Ben Godfrey</t>
  </si>
  <si>
    <t>Noa Lang</t>
  </si>
  <si>
    <t>Weston McKennie</t>
  </si>
  <si>
    <t>Ridle Baku</t>
  </si>
  <si>
    <t>Jonathan Ikoné</t>
  </si>
  <si>
    <t>Jonathan Bamba</t>
  </si>
  <si>
    <t>Saïd Benrahma</t>
  </si>
  <si>
    <t>Donny van de Beek</t>
  </si>
  <si>
    <t>Sergio Reguilón</t>
  </si>
  <si>
    <t>Jason Denayer</t>
  </si>
  <si>
    <t>Viktor Tsygankov</t>
  </si>
  <si>
    <t>Dynamo Kyiv</t>
  </si>
  <si>
    <t>Davide Calabria</t>
  </si>
  <si>
    <t>Daniel Podence</t>
  </si>
  <si>
    <t>Iñaki Williams</t>
  </si>
  <si>
    <t>Athletic Bilbao</t>
  </si>
  <si>
    <t>Jan Bednarek</t>
  </si>
  <si>
    <t>Abdou Diallo</t>
  </si>
  <si>
    <t>Thilo Kehrer</t>
  </si>
  <si>
    <t>Gonçalo Guedes</t>
  </si>
  <si>
    <t>Nabil Fekir</t>
  </si>
  <si>
    <t>Real Betis Balompié</t>
  </si>
  <si>
    <t>Nico Elvedi</t>
  </si>
  <si>
    <t>Mike Maignan</t>
  </si>
  <si>
    <t>Sardar Azmoun</t>
  </si>
  <si>
    <t>Iran</t>
  </si>
  <si>
    <t>Zenit St. Petersburg</t>
  </si>
  <si>
    <t>James Tarkowski</t>
  </si>
  <si>
    <t>Burnley FC</t>
  </si>
  <si>
    <t>Iñigo Martínez</t>
  </si>
  <si>
    <t>Remo Freuler</t>
  </si>
  <si>
    <t>Lewis Dunk</t>
  </si>
  <si>
    <t>Daniel Carvajal</t>
  </si>
  <si>
    <t>Jordan Pickford</t>
  </si>
  <si>
    <t>Conor Coady</t>
  </si>
  <si>
    <t>Abdoulaye Doucouré</t>
  </si>
  <si>
    <t>Michael Keane</t>
  </si>
  <si>
    <t>Stefan Savic</t>
  </si>
  <si>
    <t>Montenegro</t>
  </si>
  <si>
    <t>Lucas Moura</t>
  </si>
  <si>
    <t>Pablo Sarabia</t>
  </si>
  <si>
    <t>Thiago</t>
  </si>
  <si>
    <t>Pierre-Emerick Aubameyang</t>
  </si>
  <si>
    <t>Gabon</t>
  </si>
  <si>
    <t>Eden Hazard</t>
  </si>
  <si>
    <t>Karim Benzema</t>
  </si>
  <si>
    <t>Nicolás González</t>
  </si>
  <si>
    <t>Amadou Haidara</t>
  </si>
  <si>
    <t>Rafa Silva</t>
  </si>
  <si>
    <t>SL Benfica</t>
  </si>
  <si>
    <t>Otávio</t>
  </si>
  <si>
    <t>Victor Lindelöf</t>
  </si>
  <si>
    <t>Giovanni Di Lorenzo</t>
  </si>
  <si>
    <t>Odilon Kossounou</t>
  </si>
  <si>
    <t>Rayan Cherki</t>
  </si>
  <si>
    <t>Brahim Díaz</t>
  </si>
  <si>
    <t>Mario Pasalic</t>
  </si>
  <si>
    <t>Marten de Roon</t>
  </si>
  <si>
    <t>Andrej Kramaric</t>
  </si>
  <si>
    <t>TSG 1899 Hoffenheim</t>
  </si>
  <si>
    <t>Gabriel Martinelli</t>
  </si>
  <si>
    <t>Dwight McNeil</t>
  </si>
  <si>
    <t>Max Aarons</t>
  </si>
  <si>
    <t>Norwich City</t>
  </si>
  <si>
    <t>David Neres</t>
  </si>
  <si>
    <t>Mattéo Guendouzi</t>
  </si>
  <si>
    <t>Cody Gakpo</t>
  </si>
  <si>
    <t>PSV Eindhoven</t>
  </si>
  <si>
    <t>Matty Cash</t>
  </si>
  <si>
    <t>Francisco Trincão</t>
  </si>
  <si>
    <t>Marash Kumbulla</t>
  </si>
  <si>
    <t>Albania</t>
  </si>
  <si>
    <t>Sasa Kalajdzic</t>
  </si>
  <si>
    <t>Patson Daka</t>
  </si>
  <si>
    <t>Zambia</t>
  </si>
  <si>
    <t>Giovani Lo Celso</t>
  </si>
  <si>
    <t>Guido Rodríguez</t>
  </si>
  <si>
    <t>Joe Willock</t>
  </si>
  <si>
    <t>Todd Cantwell</t>
  </si>
  <si>
    <t>Christoph Baumgartner</t>
  </si>
  <si>
    <t>Malcom</t>
  </si>
  <si>
    <t>Orel Mangala</t>
  </si>
  <si>
    <t>Ramy Bensebaini</t>
  </si>
  <si>
    <t>Steven Bergwijn</t>
  </si>
  <si>
    <t>Kasper Dolberg</t>
  </si>
  <si>
    <t>Paul Onuachu</t>
  </si>
  <si>
    <t>KRC Genk</t>
  </si>
  <si>
    <t>Joachim Andersen</t>
  </si>
  <si>
    <t>Dean Henderson</t>
  </si>
  <si>
    <t>Alex Iwobi</t>
  </si>
  <si>
    <t>Jonathan Tah</t>
  </si>
  <si>
    <t>Alejandro Grimaldo</t>
  </si>
  <si>
    <t>Fred</t>
  </si>
  <si>
    <t>Patrick Bamford</t>
  </si>
  <si>
    <t>Eric Dier</t>
  </si>
  <si>
    <t>Leandro Paredes</t>
  </si>
  <si>
    <t>Berat Djimsiti</t>
  </si>
  <si>
    <t>Jesse Lingard</t>
  </si>
  <si>
    <t>Danny Ings</t>
  </si>
  <si>
    <t>Allan</t>
  </si>
  <si>
    <t>Callum Wilson</t>
  </si>
  <si>
    <t>Granit Xhaka</t>
  </si>
  <si>
    <t>Alexandre Lacazette</t>
  </si>
  <si>
    <t>João Palhinha</t>
  </si>
  <si>
    <t>Yussuf Poulsen</t>
  </si>
  <si>
    <t>Thiago Almada</t>
  </si>
  <si>
    <t>Club Atlético Vélez Sarsfield</t>
  </si>
  <si>
    <t>Julián Álvarez</t>
  </si>
  <si>
    <t>Club Atlético River Plate</t>
  </si>
  <si>
    <t>Sofiane Diop</t>
  </si>
  <si>
    <t>Pape Sarr</t>
  </si>
  <si>
    <t>FC Metz</t>
  </si>
  <si>
    <t>Pedro Porro</t>
  </si>
  <si>
    <t>Darwin Núñez</t>
  </si>
  <si>
    <t>Illan Meslier</t>
  </si>
  <si>
    <t>Mikkel Damsgaard</t>
  </si>
  <si>
    <t>UC Sampdoria</t>
  </si>
  <si>
    <t>Karim Adeyemi</t>
  </si>
  <si>
    <t>Red Bull Salzburg</t>
  </si>
  <si>
    <t>Enock Mwepu</t>
  </si>
  <si>
    <t>Musa Barrow</t>
  </si>
  <si>
    <t>The Gambia</t>
  </si>
  <si>
    <t>Bologna FC 1909</t>
  </si>
  <si>
    <t>Eberechi Eze</t>
  </si>
  <si>
    <t>Eric García</t>
  </si>
  <si>
    <t>Aaron Ramsdale</t>
  </si>
  <si>
    <t>Martín Zubimendi</t>
  </si>
  <si>
    <t>Samuel Chukwueze</t>
  </si>
  <si>
    <t>Dodô</t>
  </si>
  <si>
    <t>Shakhtar Donetsk</t>
  </si>
  <si>
    <t>Manor Solomon</t>
  </si>
  <si>
    <t>Israel</t>
  </si>
  <si>
    <t>Marc Guehi</t>
  </si>
  <si>
    <t>Hamed Junior Traorè</t>
  </si>
  <si>
    <t>Yusuf Yazici</t>
  </si>
  <si>
    <t>Tetê</t>
  </si>
  <si>
    <t>Pablo Fornals</t>
  </si>
  <si>
    <t>Alfonso Pedraza</t>
  </si>
  <si>
    <t>Igor Zubeldia</t>
  </si>
  <si>
    <t>Mason Holgate</t>
  </si>
  <si>
    <t>Ché Adams</t>
  </si>
  <si>
    <t>Gerson</t>
  </si>
  <si>
    <t>Tyler Adams</t>
  </si>
  <si>
    <t>Matteo Pessina</t>
  </si>
  <si>
    <t>Takehiro Tomiyasu</t>
  </si>
  <si>
    <t>Jeff Reine-Adélaïde</t>
  </si>
  <si>
    <t>Dani Ceballos</t>
  </si>
  <si>
    <t>Nahitan Nández</t>
  </si>
  <si>
    <t>Cagliari Calcio</t>
  </si>
  <si>
    <t>Gaetano Castrovilli</t>
  </si>
  <si>
    <t>Kelechi Iheanacho</t>
  </si>
  <si>
    <t>Mauro Arambarri</t>
  </si>
  <si>
    <t>Getafe CF</t>
  </si>
  <si>
    <t>Yerry Mina</t>
  </si>
  <si>
    <t>Marc Cucurella</t>
  </si>
  <si>
    <t>Unai Simón</t>
  </si>
  <si>
    <t>Luka Jovic</t>
  </si>
  <si>
    <t>Alex Telles</t>
  </si>
  <si>
    <t>Yeray Álvarez</t>
  </si>
  <si>
    <t>Zeki Celik</t>
  </si>
  <si>
    <t>Harry Winks</t>
  </si>
  <si>
    <t>Diego Llorente</t>
  </si>
  <si>
    <t>Juan Musso</t>
  </si>
  <si>
    <t>Moussa Dembélé</t>
  </si>
  <si>
    <t>André Gomes</t>
  </si>
  <si>
    <t>Neal Maupay</t>
  </si>
  <si>
    <t>Jérémie Boga</t>
  </si>
  <si>
    <t>Álex Remiro</t>
  </si>
  <si>
    <t>Bryan Cristante</t>
  </si>
  <si>
    <t>Alessio Romagnoli</t>
  </si>
  <si>
    <t>Julian Weigl</t>
  </si>
  <si>
    <t>Arkadiusz Milik</t>
  </si>
  <si>
    <t>Héctor Bellerín</t>
  </si>
  <si>
    <t>Julian Brandt</t>
  </si>
  <si>
    <t>Tiemoué Bakayoko</t>
  </si>
  <si>
    <t>Filip Kostic</t>
  </si>
  <si>
    <t>Danilo</t>
  </si>
  <si>
    <t>Bertrand Traoré</t>
  </si>
  <si>
    <t>Erik Lamela</t>
  </si>
  <si>
    <t>Emil Forsberg</t>
  </si>
  <si>
    <t>Portu</t>
  </si>
  <si>
    <t>Kieran Trippier</t>
  </si>
  <si>
    <t>James Rodríguez</t>
  </si>
  <si>
    <t>Al-Rayyan SC</t>
  </si>
  <si>
    <t>Julian Draxler</t>
  </si>
  <si>
    <t>Philippe Coutinho</t>
  </si>
  <si>
    <t>Alex Sandro</t>
  </si>
  <si>
    <t>Sergio Canales</t>
  </si>
  <si>
    <t>Jordan Henderson</t>
  </si>
  <si>
    <t>Ángel Di María</t>
  </si>
  <si>
    <t>Josko Gvardiol</t>
  </si>
  <si>
    <t>Joakim Maehle</t>
  </si>
  <si>
    <t>Maximilian Arnold</t>
  </si>
  <si>
    <t>Mohamed Simakan</t>
  </si>
  <si>
    <t>Rayan Aït Nouri</t>
  </si>
  <si>
    <t>Amad Diallo</t>
  </si>
  <si>
    <t>Tariq Lamptey</t>
  </si>
  <si>
    <t>Noni Madueke</t>
  </si>
  <si>
    <t>Khvicha Kvaratskhelia</t>
  </si>
  <si>
    <t>Georgia</t>
  </si>
  <si>
    <t>Rubin Kazan</t>
  </si>
  <si>
    <t>Wendel</t>
  </si>
  <si>
    <t>William Saliba</t>
  </si>
  <si>
    <t>Marcos Senesi</t>
  </si>
  <si>
    <t>Feyenoord Rotterdam</t>
  </si>
  <si>
    <t>Youssoufa Moukoko</t>
  </si>
  <si>
    <t>Luiz Felipe</t>
  </si>
  <si>
    <t>Nicolás De La Cruz</t>
  </si>
  <si>
    <t>Ryan Sessegnon</t>
  </si>
  <si>
    <t>Axel Disasi</t>
  </si>
  <si>
    <t>Alexis Saelemaekers</t>
  </si>
  <si>
    <t>Yangel Herrera</t>
  </si>
  <si>
    <t>Venezuela</t>
  </si>
  <si>
    <t>RCD Espanyol Barcelona</t>
  </si>
  <si>
    <t>Cengiz Ünder</t>
  </si>
  <si>
    <t>Kyle Walker-Peters</t>
  </si>
  <si>
    <t>Noussair Mazraoui</t>
  </si>
  <si>
    <t>Umar Sadiq</t>
  </si>
  <si>
    <t>UD Almería</t>
  </si>
  <si>
    <t>Sander Berge</t>
  </si>
  <si>
    <t>Sheffield United</t>
  </si>
  <si>
    <t>Manuel Lazzari</t>
  </si>
  <si>
    <t>Éverton</t>
  </si>
  <si>
    <t>Daniel James</t>
  </si>
  <si>
    <t>Wales</t>
  </si>
  <si>
    <t>Lucas Torreira</t>
  </si>
  <si>
    <t>Tom Davies</t>
  </si>
  <si>
    <t>Renato Tapia</t>
  </si>
  <si>
    <t>Peru</t>
  </si>
  <si>
    <t>Celta de Vigo</t>
  </si>
  <si>
    <t>David Raya</t>
  </si>
  <si>
    <t>Gregor Kobel</t>
  </si>
  <si>
    <t>Wilmar Barrios</t>
  </si>
  <si>
    <t>Gelson Martins</t>
  </si>
  <si>
    <t>Rob Holding</t>
  </si>
  <si>
    <t>Adam Armstrong</t>
  </si>
  <si>
    <t>Giorgian de Arrascaeta</t>
  </si>
  <si>
    <t>Ayoze Pérez</t>
  </si>
  <si>
    <t>Alex Meret</t>
  </si>
  <si>
    <t>Duje Caleta-Car</t>
  </si>
  <si>
    <t>Aritz Elustondo</t>
  </si>
  <si>
    <t>Age Categories</t>
  </si>
  <si>
    <t>Total Goal Involvement</t>
  </si>
  <si>
    <t>Total Goal Involvement per match</t>
  </si>
  <si>
    <t>Price To Earnings Ratio</t>
  </si>
  <si>
    <t>Сума з Markey Value In Millions(£)</t>
  </si>
  <si>
    <t>Позначки рядків</t>
  </si>
  <si>
    <t>Загальний підсумок</t>
  </si>
  <si>
    <t>Кількість з Column1</t>
  </si>
  <si>
    <t>Price Category</t>
  </si>
  <si>
    <t>Enormous Price</t>
  </si>
  <si>
    <t>High Price</t>
  </si>
  <si>
    <t>Low Price</t>
  </si>
  <si>
    <t>Middle Price</t>
  </si>
  <si>
    <t>Position Category</t>
  </si>
  <si>
    <t>Forwards</t>
  </si>
  <si>
    <t>Midfielders</t>
  </si>
  <si>
    <t>Defenders</t>
  </si>
  <si>
    <t>Goalkeepers</t>
  </si>
  <si>
    <t>Середнє з Markey Value In Millions(£)</t>
  </si>
  <si>
    <t>Кількість з Markey Value In Millions(£)</t>
  </si>
  <si>
    <t>Сума з Total Goal Involvement</t>
  </si>
  <si>
    <t>Сума з Total Goal Involvement per match</t>
  </si>
  <si>
    <t>Сума з Price To Earnings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</si>
</sst>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1" tint="0.14999847407452621"/>
      <name val="ADLaM Display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0" fillId="2" borderId="0" xfId="0" applyFill="1"/>
    <xf numFmtId="0" fontId="1" fillId="2" borderId="0" xfId="0" applyFont="1" applyFill="1"/>
    <xf numFmtId="0" fontId="2" fillId="2" borderId="0" xfId="0" applyFont="1" applyFill="1"/>
  </cellXfs>
  <cellStyles count="1">
    <cellStyle name="Звичайний" xfId="0" builtinId="0"/>
  </cellStyles>
  <dxfs count="14">
    <dxf>
      <numFmt numFmtId="164" formatCode="0.0"/>
    </dxf>
    <dxf>
      <numFmt numFmtId="165" formatCode="0.000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"/>
    </dxf>
    <dxf>
      <numFmt numFmtId="164" formatCode="0.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/>
        <color theme="0"/>
        <name val="Congenial SemiBold"/>
        <scheme val="none"/>
      </font>
      <fill>
        <patternFill patternType="solid">
          <fgColor theme="0"/>
          <bgColor theme="3"/>
        </patternFill>
      </fill>
    </dxf>
    <dxf>
      <font>
        <color theme="0"/>
        <name val="Cascadia Mono"/>
        <family val="3"/>
        <scheme val="none"/>
      </font>
      <fill>
        <patternFill patternType="solid">
          <fgColor theme="3"/>
          <bgColor theme="3"/>
        </patternFill>
      </fill>
    </dxf>
  </dxfs>
  <tableStyles count="2" defaultTableStyle="TableStyleMedium2" defaultPivotStyle="PivotStyleLight16">
    <tableStyle name="Стиль роздільника 1" pivot="0" table="0" count="1" xr9:uid="{B6749604-A7DA-4598-B912-EE61E157BD6B}"/>
    <tableStyle name="Стиль роздільника 2" pivot="0" table="0" count="4" xr9:uid="{02C2C407-875A-4A6E-85E1-4BBE1AA6A243}">
      <tableStyleElement type="wholeTable" dxfId="13"/>
      <tableStyleElement type="headerRow" dxfId="12"/>
    </tableStyle>
  </tableStyles>
  <colors>
    <mruColors>
      <color rgb="FF5F5F5F"/>
    </mruColors>
  </colors>
  <extLst>
    <ext xmlns:x14="http://schemas.microsoft.com/office/spreadsheetml/2009/9/main" uri="{46F421CA-312F-682f-3DD2-61675219B42D}">
      <x14:dxfs count="3">
        <dxf>
          <font>
            <b/>
            <i val="0"/>
            <color theme="3"/>
          </font>
          <fill>
            <patternFill patternType="solid">
              <fgColor theme="4"/>
              <bgColor theme="0"/>
            </patternFill>
          </fill>
        </dxf>
        <dxf>
          <font>
            <b val="0"/>
            <i val="0"/>
            <color theme="0"/>
          </font>
          <fill>
            <patternFill>
              <bgColor theme="3"/>
            </patternFill>
          </fill>
        </dxf>
        <dxf>
          <fill>
            <patternFill>
              <bgColor theme="3"/>
            </patternFill>
          </fill>
        </dxf>
      </x14:dxfs>
    </ext>
    <ext xmlns:x14="http://schemas.microsoft.com/office/spreadsheetml/2009/9/main" uri="{EB79DEF2-80B8-43e5-95BD-54CBDDF9020C}">
      <x14:slicerStyles defaultSlicerStyle="Стиль роздільника 2">
        <x14:slicerStyle name="Стиль роздільника 1">
          <x14:slicerStyleElements>
            <x14:slicerStyleElement type="hoveredSelectedItemWithData" dxfId="2"/>
          </x14:slicerStyleElements>
        </x14:slicerStyle>
        <x14:slicerStyle name="Стиль роздільника 2">
          <x14:slicerStyleElements>
            <x14:slicerStyleElement type="unselectedItemWithData" dxfId="1"/>
            <x14:slicerStyleElement type="selectedItemWith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[Football-Players.xlsx]pivot tables!Зведена таблиця1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r>
              <a:rPr lang="en-US"/>
              <a:t>Top 3 most expensive footballers</a:t>
            </a:r>
            <a:endParaRPr lang="uk-U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tables'!$J$3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'pivot tables'!$I$4:$I$10</c:f>
              <c:multiLvlStrCache>
                <c:ptCount val="3"/>
                <c:lvl>
                  <c:pt idx="0">
                    <c:v>22</c:v>
                  </c:pt>
                  <c:pt idx="1">
                    <c:v>21</c:v>
                  </c:pt>
                  <c:pt idx="2">
                    <c:v>28</c:v>
                  </c:pt>
                </c:lvl>
                <c:lvl>
                  <c:pt idx="0">
                    <c:v>Kylian Mbappé</c:v>
                  </c:pt>
                  <c:pt idx="1">
                    <c:v>Erling Haaland</c:v>
                  </c:pt>
                  <c:pt idx="2">
                    <c:v>Harry Kane</c:v>
                  </c:pt>
                </c:lvl>
              </c:multiLvlStrCache>
            </c:multiLvlStrRef>
          </c:cat>
          <c:val>
            <c:numRef>
              <c:f>'pivot tables'!$J$4:$J$10</c:f>
              <c:numCache>
                <c:formatCode>0.0</c:formatCode>
                <c:ptCount val="3"/>
                <c:pt idx="0">
                  <c:v>144</c:v>
                </c:pt>
                <c:pt idx="1">
                  <c:v>135</c:v>
                </c:pt>
                <c:pt idx="2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D5-483A-97FD-6394CE299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9138752"/>
        <c:axId val="1109139232"/>
      </c:lineChart>
      <c:catAx>
        <c:axId val="1109138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109139232"/>
        <c:crosses val="autoZero"/>
        <c:auto val="1"/>
        <c:lblAlgn val="ctr"/>
        <c:lblOffset val="100"/>
        <c:noMultiLvlLbl val="0"/>
      </c:catAx>
      <c:valAx>
        <c:axId val="110913923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10913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b="1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latin typeface="Cascadia Mono" panose="020B0609020000020004" pitchFamily="49" charset="0"/>
          <a:ea typeface="Cascadia Mono" panose="020B0609020000020004" pitchFamily="49" charset="0"/>
          <a:cs typeface="Cascadia Mono" panose="020B06090200000200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[Football-Players.xlsx]pivot tables!Зведена таблиця2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r>
              <a:rPr lang="en-US" sz="160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</a:rPr>
              <a:t>Price ratio</a:t>
            </a:r>
            <a:endParaRPr lang="uk-UA" sz="160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a:endParaRPr>
          </a:p>
        </c:rich>
      </c:tx>
      <c:layout>
        <c:manualLayout>
          <c:xMode val="edge"/>
          <c:yMode val="edge"/>
          <c:x val="0.4327393981412701"/>
          <c:y val="3.6158192090395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tint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6150426165282796E-2"/>
              <c:y val="0.214444770674852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tint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tint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tint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7910992258043215E-3"/>
              <c:y val="-0.1130103652297700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86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86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86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4.5590166009123072E-2"/>
              <c:y val="-6.989990657947417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8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hade val="58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shade val="58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layout>
            <c:manualLayout>
              <c:x val="-3.5884932622415933E-2"/>
              <c:y val="-6.1604163886293875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tables'!$B$21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982-45C8-B50B-5E4555C7EBC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1">
                      <a:tint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tint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tint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982-45C8-B50B-5E4555C7EBC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1">
                      <a:shade val="8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8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8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982-45C8-B50B-5E4555C7EBC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shade val="58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hade val="58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shade val="58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982-45C8-B50B-5E4555C7EBC2}"/>
              </c:ext>
            </c:extLst>
          </c:dPt>
          <c:dLbls>
            <c:dLbl>
              <c:idx val="0"/>
              <c:layout>
                <c:manualLayout>
                  <c:x val="-4.6150426165282796E-2"/>
                  <c:y val="0.21444477067485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82-45C8-B50B-5E4555C7EBC2}"/>
                </c:ext>
              </c:extLst>
            </c:dLbl>
            <c:dLbl>
              <c:idx val="1"/>
              <c:layout>
                <c:manualLayout>
                  <c:x val="-4.7910992258043215E-3"/>
                  <c:y val="-0.1130103652297700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982-45C8-B50B-5E4555C7EBC2}"/>
                </c:ext>
              </c:extLst>
            </c:dLbl>
            <c:dLbl>
              <c:idx val="2"/>
              <c:layout>
                <c:manualLayout>
                  <c:x val="-4.5590166009123072E-2"/>
                  <c:y val="-6.98999065794741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982-45C8-B50B-5E4555C7EBC2}"/>
                </c:ext>
              </c:extLst>
            </c:dLbl>
            <c:dLbl>
              <c:idx val="3"/>
              <c:layout>
                <c:manualLayout>
                  <c:x val="-3.5884932622415933E-2"/>
                  <c:y val="-6.16041638862938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982-45C8-B50B-5E4555C7EB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ascadia Mono" panose="020B0609020000020004" pitchFamily="49" charset="0"/>
                    <a:ea typeface="Cascadia Mono" panose="020B0609020000020004" pitchFamily="49" charset="0"/>
                    <a:cs typeface="Cascadia Mono" panose="020B0609020000020004" pitchFamily="49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tables'!$A$22:$A$26</c:f>
              <c:strCache>
                <c:ptCount val="4"/>
                <c:pt idx="0">
                  <c:v>Middle Price</c:v>
                </c:pt>
                <c:pt idx="1">
                  <c:v>Low Price</c:v>
                </c:pt>
                <c:pt idx="2">
                  <c:v>High Price</c:v>
                </c:pt>
                <c:pt idx="3">
                  <c:v>Enormous Price</c:v>
                </c:pt>
              </c:strCache>
            </c:strRef>
          </c:cat>
          <c:val>
            <c:numRef>
              <c:f>'pivot tables'!$B$22:$B$26</c:f>
              <c:numCache>
                <c:formatCode>0.00%</c:formatCode>
                <c:ptCount val="4"/>
                <c:pt idx="0">
                  <c:v>0.67200000000000004</c:v>
                </c:pt>
                <c:pt idx="1">
                  <c:v>0.23200000000000001</c:v>
                </c:pt>
                <c:pt idx="2">
                  <c:v>0.08</c:v>
                </c:pt>
                <c:pt idx="3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982-45C8-B50B-5E4555C7E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03139151631203"/>
          <c:y val="0.19682726099915476"/>
          <c:w val="0.32786213044124196"/>
          <c:h val="0.646275012233640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5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>
                  <a:lumMod val="85000"/>
                </a:schemeClr>
              </a:solidFill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>
        <a:lumMod val="75000"/>
        <a:lumOff val="25000"/>
      </a:schemeClr>
    </a:solidFill>
    <a:ln>
      <a:solidFill>
        <a:schemeClr val="tx1">
          <a:lumMod val="50000"/>
          <a:lumOff val="50000"/>
        </a:schemeClr>
      </a:solidFill>
    </a:ln>
    <a:effectLst/>
  </c:spPr>
  <c:txPr>
    <a:bodyPr/>
    <a:lstStyle/>
    <a:p>
      <a:pPr>
        <a:defRPr sz="1000">
          <a:latin typeface="Cascadia Mono" panose="020B0609020000020004" pitchFamily="49" charset="0"/>
          <a:ea typeface="Cascadia Mono" panose="020B0609020000020004" pitchFamily="49" charset="0"/>
          <a:cs typeface="Cascadia Mono" panose="020B06090200000200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[Football-Players.xlsx]pivot tables!Зведена таблиця8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>
                <a:ln>
                  <a:gradFill>
                    <a:gsLst>
                      <a:gs pos="0">
                        <a:schemeClr val="accent1">
                          <a:lumMod val="5000"/>
                          <a:lumOff val="95000"/>
                        </a:schemeClr>
                      </a:gs>
                      <a:gs pos="74000">
                        <a:schemeClr val="accent1">
                          <a:lumMod val="45000"/>
                          <a:lumOff val="55000"/>
                        </a:schemeClr>
                      </a:gs>
                      <a:gs pos="83000">
                        <a:schemeClr val="accent1">
                          <a:lumMod val="45000"/>
                          <a:lumOff val="55000"/>
                        </a:schemeClr>
                      </a:gs>
                      <a:gs pos="100000">
                        <a:schemeClr val="accent1">
                          <a:lumMod val="30000"/>
                          <a:lumOff val="70000"/>
                        </a:schemeClr>
                      </a:gs>
                    </a:gsLst>
                    <a:lin ang="5400000" scaled="1"/>
                  </a:gradFill>
                </a:ln>
              </a:rPr>
              <a:t>Number of country representatives</a:t>
            </a:r>
            <a:endParaRPr lang="uk-UA" sz="200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ln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tables'!$F$21</c:f>
              <c:strCache>
                <c:ptCount val="1"/>
                <c:pt idx="0">
                  <c:v>Підсумок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'pivot tables'!$E$22:$E$32</c:f>
              <c:strCache>
                <c:ptCount val="10"/>
                <c:pt idx="0">
                  <c:v>England</c:v>
                </c:pt>
                <c:pt idx="1">
                  <c:v>France</c:v>
                </c:pt>
                <c:pt idx="2">
                  <c:v>Spain</c:v>
                </c:pt>
                <c:pt idx="3">
                  <c:v>Brazil</c:v>
                </c:pt>
                <c:pt idx="4">
                  <c:v>Germany</c:v>
                </c:pt>
                <c:pt idx="5">
                  <c:v>Portugal</c:v>
                </c:pt>
                <c:pt idx="6">
                  <c:v>Italy</c:v>
                </c:pt>
                <c:pt idx="7">
                  <c:v>Argentina</c:v>
                </c:pt>
                <c:pt idx="8">
                  <c:v>Netherlands</c:v>
                </c:pt>
                <c:pt idx="9">
                  <c:v>Belgium</c:v>
                </c:pt>
              </c:strCache>
            </c:strRef>
          </c:cat>
          <c:val>
            <c:numRef>
              <c:f>'pivot tables'!$F$22:$F$32</c:f>
              <c:numCache>
                <c:formatCode>General</c:formatCode>
                <c:ptCount val="10"/>
                <c:pt idx="0">
                  <c:v>67</c:v>
                </c:pt>
                <c:pt idx="1">
                  <c:v>58</c:v>
                </c:pt>
                <c:pt idx="2">
                  <c:v>52</c:v>
                </c:pt>
                <c:pt idx="3">
                  <c:v>41</c:v>
                </c:pt>
                <c:pt idx="4">
                  <c:v>29</c:v>
                </c:pt>
                <c:pt idx="5">
                  <c:v>26</c:v>
                </c:pt>
                <c:pt idx="6">
                  <c:v>26</c:v>
                </c:pt>
                <c:pt idx="7">
                  <c:v>22</c:v>
                </c:pt>
                <c:pt idx="8">
                  <c:v>17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15-4483-BA35-C3CF1BA9F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5673311"/>
        <c:axId val="625673791"/>
      </c:barChart>
      <c:catAx>
        <c:axId val="625673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673791"/>
        <c:crosses val="autoZero"/>
        <c:auto val="1"/>
        <c:lblAlgn val="ctr"/>
        <c:lblOffset val="100"/>
        <c:noMultiLvlLbl val="0"/>
      </c:catAx>
      <c:valAx>
        <c:axId val="625673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5673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50000"/>
          <a:lumOff val="50000"/>
        </a:schemeClr>
      </a:solidFill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[Football-Players.xlsx]pivot tables!Зведена таблиця9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none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r>
              <a:rPr lang="en-US" sz="1800" b="1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rPr>
              <a:t>Total Goal Involvement</a:t>
            </a:r>
            <a:endParaRPr lang="uk-UA" sz="1800" b="1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none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defRPr>
          </a:pPr>
          <a:endParaRPr lang="uk-UA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4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5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2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tables'!$F$43</c:f>
              <c:strCache>
                <c:ptCount val="1"/>
                <c:pt idx="0">
                  <c:v>Підсумок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Cascadia Mono" panose="020B0609020000020004" pitchFamily="49" charset="0"/>
                    <a:ea typeface="Cascadia Mono" panose="020B0609020000020004" pitchFamily="49" charset="0"/>
                    <a:cs typeface="Cascadia Mono" panose="020B0609020000020004" pitchFamily="49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tables'!$E$44:$E$55</c:f>
              <c:strCache>
                <c:ptCount val="11"/>
                <c:pt idx="0">
                  <c:v>Robert Lewandowski</c:v>
                </c:pt>
                <c:pt idx="1">
                  <c:v>Karim Benzema</c:v>
                </c:pt>
                <c:pt idx="2">
                  <c:v>Julián Álvarez</c:v>
                </c:pt>
                <c:pt idx="3">
                  <c:v>Mohamed Salah</c:v>
                </c:pt>
                <c:pt idx="4">
                  <c:v>Sébastien Haller</c:v>
                </c:pt>
                <c:pt idx="5">
                  <c:v>Leroy Sané</c:v>
                </c:pt>
                <c:pt idx="6">
                  <c:v>Thomas Müller</c:v>
                </c:pt>
                <c:pt idx="7">
                  <c:v>Christopher Nkunku</c:v>
                </c:pt>
                <c:pt idx="8">
                  <c:v>Kylian Mbappé</c:v>
                </c:pt>
                <c:pt idx="9">
                  <c:v>Erling Haaland</c:v>
                </c:pt>
                <c:pt idx="10">
                  <c:v>Karim Adeyemi</c:v>
                </c:pt>
              </c:strCache>
            </c:strRef>
          </c:cat>
          <c:val>
            <c:numRef>
              <c:f>'pivot tables'!$F$44:$F$55</c:f>
              <c:numCache>
                <c:formatCode>General</c:formatCode>
                <c:ptCount val="11"/>
                <c:pt idx="0">
                  <c:v>25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18</c:v>
                </c:pt>
                <c:pt idx="6">
                  <c:v>18</c:v>
                </c:pt>
                <c:pt idx="7">
                  <c:v>18</c:v>
                </c:pt>
                <c:pt idx="8">
                  <c:v>18</c:v>
                </c:pt>
                <c:pt idx="9">
                  <c:v>17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3F-41C3-9370-43BD9B8BC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1192394368"/>
        <c:axId val="1192391488"/>
      </c:barChart>
      <c:catAx>
        <c:axId val="11923943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192391488"/>
        <c:crosses val="autoZero"/>
        <c:auto val="1"/>
        <c:lblAlgn val="ctr"/>
        <c:lblOffset val="100"/>
        <c:noMultiLvlLbl val="0"/>
      </c:catAx>
      <c:valAx>
        <c:axId val="11923914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19239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 sz="900" b="0">
          <a:latin typeface="Cascadia Mono" panose="020B0609020000020004" pitchFamily="49" charset="0"/>
          <a:ea typeface="Cascadia Mono" panose="020B0609020000020004" pitchFamily="49" charset="0"/>
          <a:cs typeface="Cascadia Mono" panose="020B06090200000200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[Football-Players.xlsx]pivot tables!Зведена таблиця11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r>
              <a:rPr lang="en-US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rPr>
              <a:t>Total Goal Involvement per match</a:t>
            </a:r>
            <a:endParaRPr lang="uk-UA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tables'!$J$21</c:f>
              <c:strCache>
                <c:ptCount val="1"/>
                <c:pt idx="0">
                  <c:v>Підсумок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Cascadia Mono" panose="020B0609020000020004" pitchFamily="49" charset="0"/>
                    <a:ea typeface="Cascadia Mono" panose="020B0609020000020004" pitchFamily="49" charset="0"/>
                    <a:cs typeface="Cascadia Mono" panose="020B0609020000020004" pitchFamily="49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tables'!$I$22:$I$37</c:f>
              <c:strCache>
                <c:ptCount val="15"/>
                <c:pt idx="0">
                  <c:v>Erling Haaland</c:v>
                </c:pt>
                <c:pt idx="1">
                  <c:v>Amad Diallo</c:v>
                </c:pt>
                <c:pt idx="2">
                  <c:v>Robert Lewandowski</c:v>
                </c:pt>
                <c:pt idx="3">
                  <c:v>Karim Benzema</c:v>
                </c:pt>
                <c:pt idx="4">
                  <c:v>Mohamed Salah</c:v>
                </c:pt>
                <c:pt idx="5">
                  <c:v>Julián Álvarez</c:v>
                </c:pt>
                <c:pt idx="6">
                  <c:v>Kylian Mbappé</c:v>
                </c:pt>
                <c:pt idx="7">
                  <c:v>Sébastien Haller</c:v>
                </c:pt>
                <c:pt idx="8">
                  <c:v>Christopher Nkunku</c:v>
                </c:pt>
                <c:pt idx="9">
                  <c:v>Vinícius Júnior</c:v>
                </c:pt>
                <c:pt idx="10">
                  <c:v>Dušan Vlahovic</c:v>
                </c:pt>
                <c:pt idx="11">
                  <c:v>Thomas Müller</c:v>
                </c:pt>
                <c:pt idx="12">
                  <c:v>Dominic Calvert-Lewin</c:v>
                </c:pt>
                <c:pt idx="13">
                  <c:v>Florian Wirtz</c:v>
                </c:pt>
                <c:pt idx="14">
                  <c:v>Leroy Sané</c:v>
                </c:pt>
              </c:strCache>
            </c:strRef>
          </c:cat>
          <c:val>
            <c:numRef>
              <c:f>'pivot tables'!$J$22:$J$37</c:f>
              <c:numCache>
                <c:formatCode>0.00</c:formatCode>
                <c:ptCount val="15"/>
                <c:pt idx="0">
                  <c:v>1.7</c:v>
                </c:pt>
                <c:pt idx="1">
                  <c:v>1.5</c:v>
                </c:pt>
                <c:pt idx="2">
                  <c:v>1.4705882352941178</c:v>
                </c:pt>
                <c:pt idx="3">
                  <c:v>1.4666666666666666</c:v>
                </c:pt>
                <c:pt idx="4">
                  <c:v>1.4</c:v>
                </c:pt>
                <c:pt idx="5">
                  <c:v>1.3125</c:v>
                </c:pt>
                <c:pt idx="6">
                  <c:v>1.125</c:v>
                </c:pt>
                <c:pt idx="7">
                  <c:v>1.1176470588235294</c:v>
                </c:pt>
                <c:pt idx="8">
                  <c:v>1.0588235294117647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6-44B2-B4F1-3039D1AA3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56448464"/>
        <c:axId val="1956442704"/>
      </c:barChart>
      <c:catAx>
        <c:axId val="1956448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956442704"/>
        <c:crosses val="autoZero"/>
        <c:auto val="1"/>
        <c:lblAlgn val="ctr"/>
        <c:lblOffset val="100"/>
        <c:noMultiLvlLbl val="0"/>
      </c:catAx>
      <c:valAx>
        <c:axId val="19564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95644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50000"/>
          <a:lumOff val="50000"/>
        </a:schemeClr>
      </a:solidFill>
    </a:ln>
    <a:effectLst/>
  </c:spPr>
  <c:txPr>
    <a:bodyPr/>
    <a:lstStyle/>
    <a:p>
      <a:pPr>
        <a:defRPr>
          <a:latin typeface="Cascadia Mono" panose="020B0609020000020004" pitchFamily="49" charset="0"/>
          <a:ea typeface="Cascadia Mono" panose="020B0609020000020004" pitchFamily="49" charset="0"/>
          <a:cs typeface="Cascadia Mono" panose="020B06090200000200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[Football-Players.xlsx]pivot tables!Зведена таблиця12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r>
              <a:rPr lang="en-US">
                <a:gradFill>
                  <a:gsLst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</a:rPr>
              <a:t>Price To Earnings Ratio</a:t>
            </a:r>
            <a:endParaRPr lang="uk-UA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defRPr>
          </a:pPr>
          <a:endParaRPr lang="uk-UA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Cascadia Mono" panose="020B0609020000020004" pitchFamily="49" charset="0"/>
                  <a:ea typeface="Cascadia Mono" panose="020B0609020000020004" pitchFamily="49" charset="0"/>
                  <a:cs typeface="Cascadia Mono" panose="020B0609020000020004" pitchFamily="49" charset="0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tables'!$M$21</c:f>
              <c:strCache>
                <c:ptCount val="1"/>
                <c:pt idx="0">
                  <c:v>Підсумок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'pivot tables'!$L$22:$L$32</c:f>
              <c:strCache>
                <c:ptCount val="10"/>
                <c:pt idx="0">
                  <c:v>Amad Diallo</c:v>
                </c:pt>
                <c:pt idx="1">
                  <c:v>Julián Álvarez</c:v>
                </c:pt>
                <c:pt idx="2">
                  <c:v>Karim Benzema</c:v>
                </c:pt>
                <c:pt idx="3">
                  <c:v>Umar Sadiq</c:v>
                </c:pt>
                <c:pt idx="4">
                  <c:v>Moussa Dembélé</c:v>
                </c:pt>
                <c:pt idx="5">
                  <c:v>Sébastien Haller</c:v>
                </c:pt>
                <c:pt idx="6">
                  <c:v>Karim Adeyemi</c:v>
                </c:pt>
                <c:pt idx="7">
                  <c:v>Darwin Núñez</c:v>
                </c:pt>
                <c:pt idx="8">
                  <c:v>Cody Gakpo</c:v>
                </c:pt>
                <c:pt idx="9">
                  <c:v>Andrej Kramaric</c:v>
                </c:pt>
              </c:strCache>
            </c:strRef>
          </c:cat>
          <c:val>
            <c:numRef>
              <c:f>'pivot tables'!$M$22:$M$32</c:f>
              <c:numCache>
                <c:formatCode>0.00000</c:formatCode>
                <c:ptCount val="10"/>
                <c:pt idx="0">
                  <c:v>9.2592592592592601E-2</c:v>
                </c:pt>
                <c:pt idx="1">
                  <c:v>7.2916666666666671E-2</c:v>
                </c:pt>
                <c:pt idx="2">
                  <c:v>6.5185185185185179E-2</c:v>
                </c:pt>
                <c:pt idx="3">
                  <c:v>5.3497942386831282E-2</c:v>
                </c:pt>
                <c:pt idx="4">
                  <c:v>4.6296296296296301E-2</c:v>
                </c:pt>
                <c:pt idx="5">
                  <c:v>4.5993706124425077E-2</c:v>
                </c:pt>
                <c:pt idx="6">
                  <c:v>4.2929292929292928E-2</c:v>
                </c:pt>
                <c:pt idx="7">
                  <c:v>4.2735042735042736E-2</c:v>
                </c:pt>
                <c:pt idx="8">
                  <c:v>3.9872408293460927E-2</c:v>
                </c:pt>
                <c:pt idx="9">
                  <c:v>3.716090672612412E-2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A-4515-81BB-0EE745CB2A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6890464"/>
        <c:axId val="1326890944"/>
      </c:lineChart>
      <c:catAx>
        <c:axId val="1326890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326890944"/>
        <c:crosses val="autoZero"/>
        <c:auto val="1"/>
        <c:lblAlgn val="ctr"/>
        <c:lblOffset val="100"/>
        <c:noMultiLvlLbl val="0"/>
      </c:catAx>
      <c:valAx>
        <c:axId val="1326890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Cascadia Mono" panose="020B0609020000020004" pitchFamily="49" charset="0"/>
                <a:ea typeface="Cascadia Mono" panose="020B0609020000020004" pitchFamily="49" charset="0"/>
                <a:cs typeface="Cascadia Mono" panose="020B0609020000020004" pitchFamily="49" charset="0"/>
              </a:defRPr>
            </a:pPr>
            <a:endParaRPr lang="en-US"/>
          </a:p>
        </c:txPr>
        <c:crossAx val="1326890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chemeClr val="tx1">
          <a:lumMod val="50000"/>
          <a:lumOff val="50000"/>
        </a:schemeClr>
      </a:solidFill>
    </a:ln>
    <a:effectLst/>
  </c:spPr>
  <c:txPr>
    <a:bodyPr/>
    <a:lstStyle/>
    <a:p>
      <a:pPr>
        <a:defRPr>
          <a:latin typeface="Cascadia Mono" panose="020B0609020000020004" pitchFamily="49" charset="0"/>
          <a:ea typeface="Cascadia Mono" panose="020B0609020000020004" pitchFamily="49" charset="0"/>
          <a:cs typeface="Cascadia Mono" panose="020B0609020000020004" pitchFamily="49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371475</xdr:colOff>
      <xdr:row>0</xdr:row>
      <xdr:rowOff>114300</xdr:rowOff>
    </xdr:from>
    <xdr:to>
      <xdr:col>14</xdr:col>
      <xdr:colOff>371475</xdr:colOff>
      <xdr:row>9</xdr:row>
      <xdr:rowOff>134470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Age Categories">
              <a:extLst>
                <a:ext uri="{FF2B5EF4-FFF2-40B4-BE49-F238E27FC236}">
                  <a16:creationId xmlns:a16="http://schemas.microsoft.com/office/drawing/2014/main" id="{8A9D36EA-FB80-4B4D-9390-116625DECA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 Categori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27769" y="114300"/>
              <a:ext cx="1815353" cy="17570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85724</xdr:colOff>
      <xdr:row>0</xdr:row>
      <xdr:rowOff>178173</xdr:rowOff>
    </xdr:from>
    <xdr:to>
      <xdr:col>11</xdr:col>
      <xdr:colOff>200025</xdr:colOff>
      <xdr:row>6</xdr:row>
      <xdr:rowOff>187698</xdr:rowOff>
    </xdr:to>
    <xdr:sp macro="" textlink="">
      <xdr:nvSpPr>
        <xdr:cNvPr id="2" name="Прямокутник: округлені кути 1">
          <a:extLst>
            <a:ext uri="{FF2B5EF4-FFF2-40B4-BE49-F238E27FC236}">
              <a16:creationId xmlns:a16="http://schemas.microsoft.com/office/drawing/2014/main" id="{B569223E-55E6-4EC2-1BEF-5B8E5FBF06EF}"/>
            </a:ext>
          </a:extLst>
        </xdr:cNvPr>
        <xdr:cNvSpPr/>
      </xdr:nvSpPr>
      <xdr:spPr>
        <a:xfrm>
          <a:off x="85724" y="178173"/>
          <a:ext cx="6770595" cy="1174937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  <a:effectLst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 i="0">
              <a:solidFill>
                <a:schemeClr val="lt1"/>
              </a:solidFill>
              <a:effectLst/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rPr>
            <a:t>Analysis Of The Most Expensive Football Players</a:t>
          </a:r>
          <a:r>
            <a:rPr lang="uk-UA" sz="2800" b="1" i="0">
              <a:solidFill>
                <a:schemeClr val="lt1"/>
              </a:solidFill>
              <a:effectLst/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rPr>
            <a:t> </a:t>
          </a:r>
          <a:endParaRPr lang="en-US" sz="2800" b="1" i="0">
            <a:solidFill>
              <a:schemeClr val="lt1"/>
            </a:solidFill>
            <a:effectLst/>
            <a:latin typeface="Cascadia Mono" panose="020B0609020000020004" pitchFamily="49" charset="0"/>
            <a:ea typeface="Cascadia Mono" panose="020B0609020000020004" pitchFamily="49" charset="0"/>
            <a:cs typeface="Cascadia Mono" panose="020B0609020000020004" pitchFamily="49" charset="0"/>
          </a:endParaRPr>
        </a:p>
        <a:p>
          <a:pPr algn="l"/>
          <a:endParaRPr lang="en-US" sz="1100"/>
        </a:p>
      </xdr:txBody>
    </xdr:sp>
    <xdr:clientData/>
  </xdr:twoCellAnchor>
  <xdr:twoCellAnchor>
    <xdr:from>
      <xdr:col>0</xdr:col>
      <xdr:colOff>74521</xdr:colOff>
      <xdr:row>7</xdr:row>
      <xdr:rowOff>100699</xdr:rowOff>
    </xdr:from>
    <xdr:to>
      <xdr:col>4</xdr:col>
      <xdr:colOff>579345</xdr:colOff>
      <xdr:row>9</xdr:row>
      <xdr:rowOff>110224</xdr:rowOff>
    </xdr:to>
    <xdr:sp macro="" textlink="A1">
      <xdr:nvSpPr>
        <xdr:cNvPr id="6" name="Прямокутник: округлені кути 5">
          <a:extLst>
            <a:ext uri="{FF2B5EF4-FFF2-40B4-BE49-F238E27FC236}">
              <a16:creationId xmlns:a16="http://schemas.microsoft.com/office/drawing/2014/main" id="{DE537209-672D-4CD0-9BE1-EB2A0F0D4AE2}"/>
            </a:ext>
          </a:extLst>
        </xdr:cNvPr>
        <xdr:cNvSpPr/>
      </xdr:nvSpPr>
      <xdr:spPr>
        <a:xfrm>
          <a:off x="74521" y="1453906"/>
          <a:ext cx="2948479" cy="390525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  <a:effectLst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E16FD769-17C7-4A6A-A1E0-BCFDE84050E6}" type="TxLink">
            <a:rPr lang="en-US" sz="1300" b="0" i="0" u="none" strike="noStrike">
              <a:solidFill>
                <a:schemeClr val="bg1"/>
              </a:solidFill>
              <a:effectLst/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Number of footballers: 500</a:t>
          </a:fld>
          <a:endParaRPr lang="en-US" sz="1300">
            <a:solidFill>
              <a:schemeClr val="bg1"/>
            </a:solidFill>
            <a:latin typeface="Cascadia Mono" panose="020B0609020000020004" pitchFamily="49" charset="0"/>
            <a:ea typeface="Cascadia Mono" panose="020B0609020000020004" pitchFamily="49" charset="0"/>
            <a:cs typeface="Cascadia Mono" panose="020B0609020000020004" pitchFamily="49" charset="0"/>
          </a:endParaRPr>
        </a:p>
      </xdr:txBody>
    </xdr:sp>
    <xdr:clientData/>
  </xdr:twoCellAnchor>
  <xdr:twoCellAnchor>
    <xdr:from>
      <xdr:col>5</xdr:col>
      <xdr:colOff>85725</xdr:colOff>
      <xdr:row>7</xdr:row>
      <xdr:rowOff>95811</xdr:rowOff>
    </xdr:from>
    <xdr:to>
      <xdr:col>11</xdr:col>
      <xdr:colOff>180975</xdr:colOff>
      <xdr:row>9</xdr:row>
      <xdr:rowOff>114861</xdr:rowOff>
    </xdr:to>
    <xdr:sp macro="" textlink="B1">
      <xdr:nvSpPr>
        <xdr:cNvPr id="7" name="Прямокутник: округлені кути 6">
          <a:extLst>
            <a:ext uri="{FF2B5EF4-FFF2-40B4-BE49-F238E27FC236}">
              <a16:creationId xmlns:a16="http://schemas.microsoft.com/office/drawing/2014/main" id="{FEA18E20-129F-4AB3-8789-D7D6A1A2AC90}"/>
            </a:ext>
          </a:extLst>
        </xdr:cNvPr>
        <xdr:cNvSpPr/>
      </xdr:nvSpPr>
      <xdr:spPr>
        <a:xfrm>
          <a:off x="3111313" y="1451723"/>
          <a:ext cx="3725956" cy="400050"/>
        </a:xfrm>
        <a:prstGeom prst="roundRect">
          <a:avLst/>
        </a:prstGeom>
        <a:solidFill>
          <a:schemeClr val="tx2"/>
        </a:solidFill>
        <a:ln>
          <a:solidFill>
            <a:schemeClr val="tx2"/>
          </a:solidFill>
        </a:ln>
        <a:effectLst/>
      </xdr:spPr>
      <xdr:style>
        <a:lnRef idx="2">
          <a:schemeClr val="accent6">
            <a:shade val="15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fld id="{66B2A221-1827-4C32-B9DA-3A6418CC88F2}" type="TxLink">
            <a:rPr lang="en-US" sz="1300" b="0" i="0" u="none" strike="noStrike">
              <a:solidFill>
                <a:schemeClr val="bg1"/>
              </a:solidFill>
              <a:effectLst/>
              <a:latin typeface="Cascadia Mono" panose="020B0609020000020004" pitchFamily="49" charset="0"/>
              <a:ea typeface="Cascadia Mono" panose="020B0609020000020004" pitchFamily="49" charset="0"/>
              <a:cs typeface="Cascadia Mono" panose="020B0609020000020004" pitchFamily="49" charset="0"/>
            </a:rPr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t>Number of footballers: 31,5 million</a:t>
          </a:fld>
          <a:endParaRPr lang="en-US" sz="1300">
            <a:solidFill>
              <a:schemeClr val="bg1"/>
            </a:solidFill>
            <a:latin typeface="Cascadia Mono" panose="020B0609020000020004" pitchFamily="49" charset="0"/>
            <a:ea typeface="Cascadia Mono" panose="020B0609020000020004" pitchFamily="49" charset="0"/>
            <a:cs typeface="Cascadia Mono" panose="020B0609020000020004" pitchFamily="49" charset="0"/>
          </a:endParaRPr>
        </a:p>
      </xdr:txBody>
    </xdr:sp>
    <xdr:clientData/>
  </xdr:twoCellAnchor>
  <xdr:twoCellAnchor>
    <xdr:from>
      <xdr:col>0</xdr:col>
      <xdr:colOff>85724</xdr:colOff>
      <xdr:row>10</xdr:row>
      <xdr:rowOff>43704</xdr:rowOff>
    </xdr:from>
    <xdr:to>
      <xdr:col>7</xdr:col>
      <xdr:colOff>4481</xdr:colOff>
      <xdr:row>25</xdr:row>
      <xdr:rowOff>43704</xdr:rowOff>
    </xdr:to>
    <xdr:graphicFrame macro="">
      <xdr:nvGraphicFramePr>
        <xdr:cNvPr id="8" name="Діаграма 7">
          <a:extLst>
            <a:ext uri="{FF2B5EF4-FFF2-40B4-BE49-F238E27FC236}">
              <a16:creationId xmlns:a16="http://schemas.microsoft.com/office/drawing/2014/main" id="{B0BF1F90-3931-4611-A04E-18003262E4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117662</xdr:colOff>
      <xdr:row>10</xdr:row>
      <xdr:rowOff>40341</xdr:rowOff>
    </xdr:from>
    <xdr:to>
      <xdr:col>14</xdr:col>
      <xdr:colOff>393887</xdr:colOff>
      <xdr:row>25</xdr:row>
      <xdr:rowOff>30816</xdr:rowOff>
    </xdr:to>
    <xdr:graphicFrame macro="">
      <xdr:nvGraphicFramePr>
        <xdr:cNvPr id="10" name="Діаграма 9">
          <a:extLst>
            <a:ext uri="{FF2B5EF4-FFF2-40B4-BE49-F238E27FC236}">
              <a16:creationId xmlns:a16="http://schemas.microsoft.com/office/drawing/2014/main" id="{88D37BC7-4198-4CEB-AAA6-1884BF81D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481853</xdr:colOff>
      <xdr:row>0</xdr:row>
      <xdr:rowOff>112058</xdr:rowOff>
    </xdr:from>
    <xdr:to>
      <xdr:col>18</xdr:col>
      <xdr:colOff>347382</xdr:colOff>
      <xdr:row>9</xdr:row>
      <xdr:rowOff>123263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Position Category">
              <a:extLst>
                <a:ext uri="{FF2B5EF4-FFF2-40B4-BE49-F238E27FC236}">
                  <a16:creationId xmlns:a16="http://schemas.microsoft.com/office/drawing/2014/main" id="{0A4EAE81-C466-4CBA-A025-918819E3F4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ition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953500" y="112058"/>
              <a:ext cx="2286000" cy="1748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 fLocksWithSheet="0"/>
  </xdr:twoCellAnchor>
  <xdr:twoCellAnchor>
    <xdr:from>
      <xdr:col>0</xdr:col>
      <xdr:colOff>100853</xdr:colOff>
      <xdr:row>25</xdr:row>
      <xdr:rowOff>112058</xdr:rowOff>
    </xdr:from>
    <xdr:to>
      <xdr:col>14</xdr:col>
      <xdr:colOff>380999</xdr:colOff>
      <xdr:row>39</xdr:row>
      <xdr:rowOff>188258</xdr:rowOff>
    </xdr:to>
    <xdr:graphicFrame macro="">
      <xdr:nvGraphicFramePr>
        <xdr:cNvPr id="12" name="Діаграма 11">
          <a:extLst>
            <a:ext uri="{FF2B5EF4-FFF2-40B4-BE49-F238E27FC236}">
              <a16:creationId xmlns:a16="http://schemas.microsoft.com/office/drawing/2014/main" id="{C281C17B-94F8-4A86-AF6A-4ADBB427F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504264</xdr:colOff>
      <xdr:row>10</xdr:row>
      <xdr:rowOff>67234</xdr:rowOff>
    </xdr:from>
    <xdr:to>
      <xdr:col>23</xdr:col>
      <xdr:colOff>168088</xdr:colOff>
      <xdr:row>39</xdr:row>
      <xdr:rowOff>190499</xdr:rowOff>
    </xdr:to>
    <xdr:graphicFrame macro="">
      <xdr:nvGraphicFramePr>
        <xdr:cNvPr id="13" name="Діаграма 12">
          <a:extLst>
            <a:ext uri="{FF2B5EF4-FFF2-40B4-BE49-F238E27FC236}">
              <a16:creationId xmlns:a16="http://schemas.microsoft.com/office/drawing/2014/main" id="{1DE40ABA-D9C7-41C9-B0E0-139E5CA345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18</xdr:col>
      <xdr:colOff>448234</xdr:colOff>
      <xdr:row>0</xdr:row>
      <xdr:rowOff>100853</xdr:rowOff>
    </xdr:from>
    <xdr:to>
      <xdr:col>22</xdr:col>
      <xdr:colOff>67235</xdr:colOff>
      <xdr:row>9</xdr:row>
      <xdr:rowOff>123264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4" name="Price Category">
              <a:extLst>
                <a:ext uri="{FF2B5EF4-FFF2-40B4-BE49-F238E27FC236}">
                  <a16:creationId xmlns:a16="http://schemas.microsoft.com/office/drawing/2014/main" id="{FE621999-86EA-4756-9924-8A21B49437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ice 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340352" y="100853"/>
              <a:ext cx="2039471" cy="17593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Ця фігура – роздільник. Роздільники підтримуються в програмі Excel 2010 або новішій версії.
Якщо фігуру змінено в попередній версії програми Excel, або якщо книгу збережено в програмі Excel 2003 чи старішій версії, роздільники використовувати не можна.</a:t>
              </a:r>
            </a:p>
          </xdr:txBody>
        </xdr:sp>
      </mc:Fallback>
    </mc:AlternateContent>
    <xdr:clientData fLocksWithSheet="0"/>
  </xdr:twoCellAnchor>
  <xdr:twoCellAnchor>
    <xdr:from>
      <xdr:col>23</xdr:col>
      <xdr:colOff>291350</xdr:colOff>
      <xdr:row>10</xdr:row>
      <xdr:rowOff>67234</xdr:rowOff>
    </xdr:from>
    <xdr:to>
      <xdr:col>34</xdr:col>
      <xdr:colOff>201706</xdr:colOff>
      <xdr:row>40</xdr:row>
      <xdr:rowOff>0</xdr:rowOff>
    </xdr:to>
    <xdr:graphicFrame macro="">
      <xdr:nvGraphicFramePr>
        <xdr:cNvPr id="15" name="Діаграма 14">
          <a:extLst>
            <a:ext uri="{FF2B5EF4-FFF2-40B4-BE49-F238E27FC236}">
              <a16:creationId xmlns:a16="http://schemas.microsoft.com/office/drawing/2014/main" id="{CD85FFDC-B45D-46E2-A2F6-C6CE75B57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168088</xdr:colOff>
      <xdr:row>0</xdr:row>
      <xdr:rowOff>100854</xdr:rowOff>
    </xdr:from>
    <xdr:to>
      <xdr:col>34</xdr:col>
      <xdr:colOff>235324</xdr:colOff>
      <xdr:row>9</xdr:row>
      <xdr:rowOff>134470</xdr:rowOff>
    </xdr:to>
    <xdr:graphicFrame macro="">
      <xdr:nvGraphicFramePr>
        <xdr:cNvPr id="16" name="Діаграма 15">
          <a:extLst>
            <a:ext uri="{FF2B5EF4-FFF2-40B4-BE49-F238E27FC236}">
              <a16:creationId xmlns:a16="http://schemas.microsoft.com/office/drawing/2014/main" id="{65C6B3E9-D785-4311-97EF-159E3933D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as" refreshedDate="46090.770819675927" createdVersion="8" refreshedVersion="8" minRefreshableVersion="3" recordCount="500" xr:uid="{FB832814-B180-4F80-B4E1-9D8CDD38F426}">
  <cacheSource type="worksheet">
    <worksheetSource name="players"/>
  </cacheSource>
  <cacheFields count="22">
    <cacheField name="Column1" numFmtId="0">
      <sharedItems containsSemiMixedTypes="0" containsString="0" containsNumber="1" containsInteger="1" minValue="0" maxValue="499"/>
    </cacheField>
    <cacheField name="Name" numFmtId="0">
      <sharedItems count="500">
        <s v="Kylian Mbappé"/>
        <s v="Erling Haaland"/>
        <s v="Harry Kane"/>
        <s v="Jack Grealish"/>
        <s v="Mohamed Salah"/>
        <s v="Romelu Lukaku"/>
        <s v="Kevin De Bruyne"/>
        <s v="Neymar"/>
        <s v="Jadon Sancho"/>
        <s v="Frenkie de Jong"/>
        <s v="Bruno Fernandes"/>
        <s v="Joshua Kimmich"/>
        <s v="Raheem Sterling"/>
        <s v="Marcus Rashford"/>
        <s v="Sadio Mané"/>
        <s v="Heung-min Son"/>
        <s v="Pedri"/>
        <s v="Phil Foden"/>
        <s v="Lautaro Martínez"/>
        <s v="Marcos Llorente"/>
        <s v="Lionel Messi"/>
        <s v="Mason Mount"/>
        <s v="Trent Alexander-Arnold"/>
        <s v="Rúben Dias"/>
        <s v="Marquinhos"/>
        <s v="Jude Bellingham"/>
        <s v="João Félix"/>
        <s v="Alphonso Davies"/>
        <s v="Achraf Hakimi"/>
        <s v="Declan Rice"/>
        <s v="Rodri"/>
        <s v="Mikel Oyarzabal"/>
        <s v="Federico Chiesa"/>
        <s v="Matthijs de Ligt"/>
        <s v="Kai Havertz"/>
        <s v="Sergej Milinković-Savić"/>
        <s v="Bernardo Silva"/>
        <s v="Raphaël Varane"/>
        <s v="Serge Gnabry"/>
        <s v="Leon Goretzka"/>
        <s v="Jan Oblak"/>
        <s v="Casemiro"/>
        <s v="Florian Wirtz"/>
        <s v="Bukayo Saka"/>
        <s v="Federico Valverde"/>
        <s v="Gianluigi Donnarumma"/>
        <s v="Nicolò Barella"/>
        <s v="Andrew Robertson"/>
        <s v="Ansu Fati"/>
        <s v="Jules Koundé"/>
        <s v="Victor Osimhen"/>
        <s v="Gabriel Jesus"/>
        <s v="Dayot Upamecano"/>
        <s v="Alessandro Bastoni"/>
        <s v="Wilfred Ndidi"/>
        <s v="José María Giménez"/>
        <s v="Fabinho"/>
        <s v="Milan Skriniar"/>
        <s v="Leroy Sané"/>
        <s v="Paul Pogba"/>
        <s v="Thibaut Courtois"/>
        <s v="Alisson"/>
        <s v="Koke"/>
        <s v="Robert Lewandowski"/>
        <s v="Eduardo Camavinga"/>
        <s v="Richarlison"/>
        <s v="Franck Kessié"/>
        <s v="Youri Tielemans"/>
        <s v="Kingsley Coman"/>
        <s v="N'Golo Kanté"/>
        <s v="João Cancelo"/>
        <s v="Timo Werner"/>
        <s v="Virgil van Dijk"/>
        <s v="Marco Verratti"/>
        <s v="Marc-André ter Stegen"/>
        <s v="David Alaba"/>
        <s v="Jamal Musiala"/>
        <s v="Mason Greenwood"/>
        <s v="Pau Torres"/>
        <s v="Ferran Torres"/>
        <s v="Vinícius Júnior"/>
        <s v="Dušan Vlahovic"/>
        <s v="Theo Hernández"/>
        <s v="Christian Pulisic"/>
        <s v="James Maddison"/>
        <s v="Dani Olmo"/>
        <s v="Ferland Mendy"/>
        <s v="Ousmane Dembélé"/>
        <s v="Ederson"/>
        <s v="Paulo Dybala"/>
        <s v="Piotr Zielinski"/>
        <s v="Harry Maguire"/>
        <s v="Antoine Griezmann"/>
        <s v="Stefan de Vrij"/>
        <s v="Lorenzo Insigne"/>
        <s v="Kalidou Koulibaly"/>
        <s v="Christopher Nkunku"/>
        <s v="Reece James"/>
        <s v="Tanguy Ndombélé"/>
        <s v="Fabián Ruiz"/>
        <s v="Diogo Jota"/>
        <s v="Diego Carlos"/>
        <s v="Caglar Söyüncü"/>
        <s v="Hirving Lozano"/>
        <s v="Dominic Calvert-Lewin"/>
        <s v="Lorenzo Pellegrini"/>
        <s v="Lucas Hernández"/>
        <s v="Aymeric Laporte"/>
        <s v="Memphis Depay"/>
        <s v="Wilfried Zaha"/>
        <s v="Álvaro Morata"/>
        <s v="Jorginho"/>
        <s v="Mateo Kovacic"/>
        <s v="Cristiano Ronaldo"/>
        <s v="Giovanni Reyna"/>
        <s v="Moussa Diaby"/>
        <s v="Tomas Soucek"/>
        <s v="Rúben Neves"/>
        <s v="Luke Shaw"/>
        <s v="Riyad Mahrez"/>
        <s v="Nuno Mendes"/>
        <s v="Edmond Tapsoba"/>
        <s v="Aaron Wan-Bissaka"/>
        <s v="Wesley Fofana"/>
        <s v="Youssef En-Nesyri"/>
        <s v="Éder Militão"/>
        <s v="Nicolò Zaniolo"/>
        <s v="Carlos Soler"/>
        <s v="Kalvin Phillips"/>
        <s v="Alexander Isak"/>
        <s v="Mikel Merino"/>
        <s v="Ben White"/>
        <s v="Martin Ødegaard"/>
        <s v="Fikayo Tomori"/>
        <s v="Presnel Kimpembe"/>
        <s v="Ángel Correa"/>
        <s v="Rodrigo de Paul"/>
        <s v="Thomas Partey"/>
        <s v="Thomas Lemar"/>
        <s v="André Silva"/>
        <s v="Gerard Moreno"/>
        <s v="Raphaël Guerreiro"/>
        <s v="Pierre-Emile Höjbjerg"/>
        <s v="Marcelo Brozovic"/>
        <s v="Saúl Ñíguez"/>
        <s v="Yannick Carrasco"/>
        <s v="Roberto Firmino"/>
        <s v="Luis Alberto"/>
        <s v="Ilkay Gündogan"/>
        <s v="Ismaël Bennacer"/>
        <s v="Tammy Abraham"/>
        <s v="Ben Chilwell"/>
        <s v="Hakim Ziyech"/>
        <s v="Ciro Immobile"/>
        <s v="Jonathan David"/>
        <s v="Pedro Neto"/>
        <s v="Douglas Luiz"/>
        <s v="Lucas Paquetá"/>
        <s v="Dejan Kulusevski"/>
        <s v="Amine Gouiri"/>
        <s v="Aurélien Tchouaméni"/>
        <s v="Rodrygo"/>
        <s v="Harvey Barnes"/>
        <s v="Houssem Aouar"/>
        <s v="Leon Bailey"/>
        <s v="Moise Kean"/>
        <s v="Arthur"/>
        <s v="Ibrahima Konaté"/>
        <s v="Cristian Romero"/>
        <s v="Benjamin Pavard"/>
        <s v="Nicolas Pépé"/>
        <s v="Emiliano Buendía"/>
        <s v="Scott McTominay"/>
        <s v="Marco Asensio"/>
        <s v="Mario Hermoso"/>
        <s v="Angeliño"/>
        <s v="Robin Gosens"/>
        <s v="Manuel Locatelli"/>
        <s v="José Gayà"/>
        <s v="Andreas Christensen"/>
        <s v="Anthony Martial"/>
        <s v="Domenico Berardi"/>
        <s v="Andrea Belotti"/>
        <s v="Niklas Süle"/>
        <s v="Wissam Ben Yedder"/>
        <s v="Lucas Digne"/>
        <s v="Emiliano Martínez"/>
        <s v="Antonio Rüdiger"/>
        <s v="Mauro Icardi"/>
        <s v="Ryan Gravenberch"/>
        <s v="Jordan Veretout"/>
        <s v="Duván Zapata"/>
        <s v="Raphinha"/>
        <s v="Callum Hudson-Odoi"/>
        <s v="Davinson Sánchez"/>
        <s v="Ollie Watkins"/>
        <s v="Naby Keïta"/>
        <s v="Kieran Tierney"/>
        <s v="Ivan Toney"/>
        <s v="Ante Rebic"/>
        <s v="James Ward-Prowse"/>
        <s v="Nathan Aké"/>
        <s v="Kurt Zouma"/>
        <s v="Marcel Sabitzer"/>
        <s v="Yéremy Pino"/>
        <s v="Bryan Gil"/>
        <s v="Bruno Guimarães"/>
        <s v="Matheus Cunha"/>
        <s v="Edouard Mendy"/>
        <s v="Curtis Jones"/>
        <s v="Sergiño Dest"/>
        <s v="Rodrigo Bentancur"/>
        <s v="Donyell Malen"/>
        <s v="Jarrod Bowen"/>
        <s v="Nikola Vlasic"/>
        <s v="Manuel Akanji"/>
        <s v="Allan Saint-Maximin"/>
        <s v="Joan Jordán"/>
        <s v="Renato Sanches"/>
        <s v="Gianluca Mancini"/>
        <s v="Joe Gomez"/>
        <s v="Tyrone Mings"/>
        <s v="Wout Weghorst"/>
        <s v="Joaquín Correa"/>
        <s v="Ricardo Pereira"/>
        <s v="Dele Alli"/>
        <s v="Ruslan Malinovskyi"/>
        <s v="Adama Traoré"/>
        <s v="John McGinn"/>
        <s v="Lucas Ocampos"/>
        <s v="John Stones"/>
        <s v="Adrien Rabiot"/>
        <s v="Leander Dendoncker"/>
        <s v="Matteo Politano"/>
        <s v="Hakan Calhanoglu"/>
        <s v="Jesús Corona"/>
        <s v="Luis Muriel"/>
        <s v="Kevin Volland"/>
        <s v="Thomas Müller"/>
        <s v="Georginio Wijnaldum"/>
        <s v="Toni Kroos"/>
        <s v="Benoît Badiashile"/>
        <s v="Maxence Lacroix"/>
        <s v="Boubacar Kamara"/>
        <s v="Emile Smith Rowe"/>
        <s v="Evan N'Dicka"/>
        <s v="Sven Botman"/>
        <s v="Boubakary Soumaré"/>
        <s v="Merih Demiral"/>
        <s v="Marcus Thuram"/>
        <s v="Florian Neuhaus"/>
        <s v="Aleksandr Golovin"/>
        <s v="Timothy Castagne"/>
        <s v="Patrik Schick"/>
        <s v="Nélson Semedo"/>
        <s v="Raúl Jiménez"/>
        <s v="Oleksandr Zinchenko"/>
        <s v="Kyle Walker"/>
        <s v="Ismaïla Sarr"/>
        <s v="Sandro Tonali"/>
        <s v="Denis Zakaria"/>
        <s v="Xaver Schlager"/>
        <s v="Lukas Klostermann"/>
        <s v="Sébastien Haller"/>
        <s v="Matthias Ginter"/>
        <s v="Thorgan Hazard"/>
        <s v="Jérémy Doku"/>
        <s v="Gabriel Barbosa"/>
        <s v="Konrad Laimer"/>
        <s v="Emre Can"/>
        <s v="Leonardo Spinazzola"/>
        <s v="Gavi"/>
        <s v="Ilaix Moriba"/>
        <s v="Silas Katompa Mvumpa"/>
        <s v="Antony"/>
        <s v="Roger Ibañez"/>
        <s v="Fábio Silva"/>
        <s v="Lisandro Martínez"/>
        <s v="Luis Díaz"/>
        <s v="Ronald Araújo"/>
        <s v="Renan Lodi"/>
        <s v="Emerson Royal"/>
        <s v="Dominik Szoboszlai"/>
        <s v="Charles De Ketelaere"/>
        <s v="Gabriel"/>
        <s v="Pedro Gonçalves"/>
        <s v="Nikola Milenkovic"/>
        <s v="Ezri Konsa"/>
        <s v="Yves Bissouma"/>
        <s v="Maxi Gómez"/>
        <s v="Rafael Leão"/>
        <s v="Daichi Kamada"/>
        <s v="Arnaut Danjuma"/>
        <s v="André Zambo Anguissa"/>
        <s v="Robin Le Normand"/>
        <s v="Nordi Mukiele"/>
        <s v="Ben Godfrey"/>
        <s v="Noa Lang"/>
        <s v="Weston McKennie"/>
        <s v="Ridle Baku"/>
        <s v="Jonathan Ikoné"/>
        <s v="Jonathan Bamba"/>
        <s v="Saïd Benrahma"/>
        <s v="Donny van de Beek"/>
        <s v="Sergio Reguilón"/>
        <s v="Jason Denayer"/>
        <s v="Viktor Tsygankov"/>
        <s v="Davide Calabria"/>
        <s v="Daniel Podence"/>
        <s v="Iñaki Williams"/>
        <s v="Jan Bednarek"/>
        <s v="Abdou Diallo"/>
        <s v="Thilo Kehrer"/>
        <s v="Gonçalo Guedes"/>
        <s v="Nabil Fekir"/>
        <s v="Nico Elvedi"/>
        <s v="Mike Maignan"/>
        <s v="Sardar Azmoun"/>
        <s v="James Tarkowski"/>
        <s v="Iñigo Martínez"/>
        <s v="Remo Freuler"/>
        <s v="Lewis Dunk"/>
        <s v="Daniel Carvajal"/>
        <s v="Jordan Pickford"/>
        <s v="Conor Coady"/>
        <s v="Abdoulaye Doucouré"/>
        <s v="Michael Keane"/>
        <s v="Stefan Savic"/>
        <s v="Lucas Moura"/>
        <s v="Pablo Sarabia"/>
        <s v="Thiago"/>
        <s v="Pierre-Emerick Aubameyang"/>
        <s v="Eden Hazard"/>
        <s v="Karim Benzema"/>
        <s v="Nicolás González"/>
        <s v="Amadou Haidara"/>
        <s v="Rafa Silva"/>
        <s v="Otávio"/>
        <s v="Victor Lindelöf"/>
        <s v="Giovanni Di Lorenzo"/>
        <s v="Odilon Kossounou"/>
        <s v="Rayan Cherki"/>
        <s v="Brahim Díaz"/>
        <s v="Mario Pasalic"/>
        <s v="Marten de Roon"/>
        <s v="Andrej Kramaric"/>
        <s v="Gabriel Martinelli"/>
        <s v="Dwight McNeil"/>
        <s v="Max Aarons"/>
        <s v="David Neres"/>
        <s v="Mattéo Guendouzi"/>
        <s v="Cody Gakpo"/>
        <s v="Matty Cash"/>
        <s v="Francisco Trincão"/>
        <s v="Marash Kumbulla"/>
        <s v="Sasa Kalajdzic"/>
        <s v="Patson Daka"/>
        <s v="Giovani Lo Celso"/>
        <s v="Guido Rodríguez"/>
        <s v="Joe Willock"/>
        <s v="Todd Cantwell"/>
        <s v="Christoph Baumgartner"/>
        <s v="Malcom"/>
        <s v="Orel Mangala"/>
        <s v="Ramy Bensebaini"/>
        <s v="Steven Bergwijn"/>
        <s v="Kasper Dolberg"/>
        <s v="Paul Onuachu"/>
        <s v="Joachim Andersen"/>
        <s v="Dean Henderson"/>
        <s v="Alex Iwobi"/>
        <s v="Jonathan Tah"/>
        <s v="Alejandro Grimaldo"/>
        <s v="Fred"/>
        <s v="Patrick Bamford"/>
        <s v="Eric Dier"/>
        <s v="Leandro Paredes"/>
        <s v="Berat Djimsiti"/>
        <s v="Jesse Lingard"/>
        <s v="Danny Ings"/>
        <s v="Allan"/>
        <s v="Callum Wilson"/>
        <s v="Granit Xhaka"/>
        <s v="Alexandre Lacazette"/>
        <s v="João Palhinha"/>
        <s v="Yussuf Poulsen"/>
        <s v="Thiago Almada"/>
        <s v="Julián Álvarez"/>
        <s v="Sofiane Diop"/>
        <s v="Pape Sarr"/>
        <s v="Pedro Porro"/>
        <s v="Darwin Núñez"/>
        <s v="Illan Meslier"/>
        <s v="Mikkel Damsgaard"/>
        <s v="Karim Adeyemi"/>
        <s v="Enock Mwepu"/>
        <s v="Musa Barrow"/>
        <s v="Eberechi Eze"/>
        <s v="Eric García"/>
        <s v="Aaron Ramsdale"/>
        <s v="Martín Zubimendi"/>
        <s v="Samuel Chukwueze"/>
        <s v="Dodô"/>
        <s v="Manor Solomon"/>
        <s v="Marc Guehi"/>
        <s v="Hamed Junior Traorè"/>
        <s v="Yusuf Yazici"/>
        <s v="Tetê"/>
        <s v="Pablo Fornals"/>
        <s v="Alfonso Pedraza"/>
        <s v="Igor Zubeldia"/>
        <s v="Mason Holgate"/>
        <s v="Ché Adams"/>
        <s v="Gerson"/>
        <s v="Tyler Adams"/>
        <s v="Matteo Pessina"/>
        <s v="Takehiro Tomiyasu"/>
        <s v="Jeff Reine-Adélaïde"/>
        <s v="Dani Ceballos"/>
        <s v="Nahitan Nández"/>
        <s v="Gaetano Castrovilli"/>
        <s v="Kelechi Iheanacho"/>
        <s v="Mauro Arambarri"/>
        <s v="Yerry Mina"/>
        <s v="Marc Cucurella"/>
        <s v="Unai Simón"/>
        <s v="Luka Jovic"/>
        <s v="Alex Telles"/>
        <s v="Yeray Álvarez"/>
        <s v="Zeki Celik"/>
        <s v="Harry Winks"/>
        <s v="Diego Llorente"/>
        <s v="Juan Musso"/>
        <s v="Moussa Dembélé"/>
        <s v="André Gomes"/>
        <s v="Neal Maupay"/>
        <s v="Jérémie Boga"/>
        <s v="Álex Remiro"/>
        <s v="Bryan Cristante"/>
        <s v="Alessio Romagnoli"/>
        <s v="Julian Weigl"/>
        <s v="Arkadiusz Milik"/>
        <s v="Héctor Bellerín"/>
        <s v="Julian Brandt"/>
        <s v="Tiemoué Bakayoko"/>
        <s v="Filip Kostic"/>
        <s v="Danilo"/>
        <s v="Bertrand Traoré"/>
        <s v="Erik Lamela"/>
        <s v="Emil Forsberg"/>
        <s v="Portu"/>
        <s v="Kieran Trippier"/>
        <s v="James Rodríguez"/>
        <s v="Julian Draxler"/>
        <s v="Philippe Coutinho"/>
        <s v="Alex Sandro"/>
        <s v="Sergio Canales"/>
        <s v="Jordan Henderson"/>
        <s v="Ángel Di María"/>
        <s v="Josko Gvardiol"/>
        <s v="Joakim Maehle"/>
        <s v="Maximilian Arnold"/>
        <s v="Mohamed Simakan"/>
        <s v="Rayan Aït Nouri"/>
        <s v="Amad Diallo"/>
        <s v="Tariq Lamptey"/>
        <s v="Noni Madueke"/>
        <s v="Khvicha Kvaratskhelia"/>
        <s v="Wendel"/>
        <s v="William Saliba"/>
        <s v="Marcos Senesi"/>
        <s v="Youssoufa Moukoko"/>
        <s v="Luiz Felipe"/>
        <s v="Nicolás De La Cruz"/>
        <s v="Ryan Sessegnon"/>
        <s v="Axel Disasi"/>
        <s v="Alexis Saelemaekers"/>
        <s v="Yangel Herrera"/>
        <s v="Cengiz Ünder"/>
        <s v="Kyle Walker-Peters"/>
        <s v="Noussair Mazraoui"/>
        <s v="Umar Sadiq"/>
        <s v="Sander Berge"/>
        <s v="Manuel Lazzari"/>
        <s v="Éverton"/>
        <s v="Daniel James"/>
        <s v="Lucas Torreira"/>
        <s v="Tom Davies"/>
        <s v="Renato Tapia"/>
        <s v="David Raya"/>
        <s v="Gregor Kobel"/>
        <s v="Wilmar Barrios"/>
        <s v="Gelson Martins"/>
        <s v="Rob Holding"/>
        <s v="Adam Armstrong"/>
        <s v="Giorgian de Arrascaeta"/>
        <s v="Ayoze Pérez"/>
        <s v="Alex Meret"/>
        <s v="Duje Caleta-Car"/>
        <s v="Aritz Elustondo"/>
      </sharedItems>
    </cacheField>
    <cacheField name="Position" numFmtId="0">
      <sharedItems/>
    </cacheField>
    <cacheField name="Position Category" numFmtId="0">
      <sharedItems count="4">
        <s v="Forwards"/>
        <s v="Midfielders"/>
        <s v="Defenders"/>
        <s v="Goalkeepers"/>
      </sharedItems>
    </cacheField>
    <cacheField name="Age" numFmtId="0">
      <sharedItems containsSemiMixedTypes="0" containsString="0" containsNumber="1" containsInteger="1" minValue="16" maxValue="36" count="20">
        <n v="22"/>
        <n v="21"/>
        <n v="28"/>
        <n v="26"/>
        <n v="29"/>
        <n v="30"/>
        <n v="24"/>
        <n v="27"/>
        <n v="18"/>
        <n v="34"/>
        <n v="23"/>
        <n v="25"/>
        <n v="20"/>
        <n v="19"/>
        <n v="33"/>
        <n v="36"/>
        <n v="31"/>
        <n v="32"/>
        <n v="17"/>
        <n v="16"/>
      </sharedItems>
    </cacheField>
    <cacheField name="Age Categories" numFmtId="0">
      <sharedItems count="5">
        <s v="Young"/>
        <s v="Career peak"/>
        <s v="Experienced"/>
        <s v="Teenagers"/>
        <s v="Veterans"/>
      </sharedItems>
    </cacheField>
    <cacheField name="Markey Value In Millions(£)" numFmtId="164">
      <sharedItems containsSemiMixedTypes="0" containsString="0" containsNumber="1" minValue="16.2" maxValue="144"/>
    </cacheField>
    <cacheField name="Price Category" numFmtId="164">
      <sharedItems count="4">
        <s v="Enormous Price"/>
        <s v="High Price"/>
        <s v="Middle Price"/>
        <s v="Low Price"/>
      </sharedItems>
    </cacheField>
    <cacheField name="Country" numFmtId="0">
      <sharedItems count="57">
        <s v="France"/>
        <s v="Norway"/>
        <s v="England"/>
        <s v="Egypt"/>
        <s v="Belgium"/>
        <s v="Brazil"/>
        <s v="Netherlands"/>
        <s v="Portugal"/>
        <s v="Germany"/>
        <s v="Senegal"/>
        <s v="Korea, South"/>
        <s v="Spain"/>
        <s v="Argentina"/>
        <s v="Canada"/>
        <s v="Morocco"/>
        <s v="Italy"/>
        <s v="Serbia"/>
        <s v="Slovenia"/>
        <s v="Uruguay"/>
        <s v="Scotland"/>
        <s v="Nigeria"/>
        <s v="Slovakia"/>
        <s v="Poland"/>
        <s v="Cote d'Ivoire"/>
        <s v="Austria"/>
        <s v="United States"/>
        <s v="Turkey"/>
        <s v="Mexico"/>
        <s v="Croatia"/>
        <s v="Czech Republic"/>
        <s v="Algeria"/>
        <s v="Burkina Faso"/>
        <s v="Sweden"/>
        <s v="Ghana"/>
        <s v="Denmark"/>
        <s v="Jamaica"/>
        <s v="Colombia"/>
        <s v="Guinea"/>
        <s v="Switzerland"/>
        <s v="Ukraine"/>
        <s v="Russia"/>
        <s v="DR Congo"/>
        <s v="Hungary"/>
        <s v="Mali"/>
        <s v="Japan"/>
        <s v="Cameroon"/>
        <s v="Iran"/>
        <s v="Montenegro"/>
        <s v="Gabon"/>
        <s v="Albania"/>
        <s v="Zambia"/>
        <s v="The Gambia"/>
        <s v="Israel"/>
        <s v="Georgia"/>
        <s v="Venezuela"/>
        <s v="Wales"/>
        <s v="Peru"/>
      </sharedItems>
    </cacheField>
    <cacheField name="Club" numFmtId="0">
      <sharedItems/>
    </cacheField>
    <cacheField name="Matches" numFmtId="0">
      <sharedItems containsSemiMixedTypes="0" containsString="0" containsNumber="1" containsInteger="1" minValue="0" maxValue="24"/>
    </cacheField>
    <cacheField name="Goals" numFmtId="0">
      <sharedItems containsSemiMixedTypes="0" containsString="0" containsNumber="1" containsInteger="1" minValue="0" maxValue="23"/>
    </cacheField>
    <cacheField name="Own Goals" numFmtId="0">
      <sharedItems containsSemiMixedTypes="0" containsString="0" containsNumber="1" containsInteger="1" minValue="0" maxValue="1"/>
    </cacheField>
    <cacheField name="Assists" numFmtId="0">
      <sharedItems containsSemiMixedTypes="0" containsString="0" containsNumber="1" containsInteger="1" minValue="0" maxValue="12"/>
    </cacheField>
    <cacheField name="Total Goal Involvement" numFmtId="0">
      <sharedItems containsSemiMixedTypes="0" containsString="0" containsNumber="1" containsInteger="1" minValue="0" maxValue="25" count="23">
        <n v="18"/>
        <n v="17"/>
        <n v="9"/>
        <n v="5"/>
        <n v="21"/>
        <n v="4"/>
        <n v="6"/>
        <n v="0"/>
        <n v="2"/>
        <n v="13"/>
        <n v="7"/>
        <n v="3"/>
        <n v="8"/>
        <n v="10"/>
        <n v="1"/>
        <n v="12"/>
        <n v="14"/>
        <n v="11"/>
        <n v="25"/>
        <n v="16"/>
        <n v="15"/>
        <n v="19"/>
        <n v="22"/>
      </sharedItems>
    </cacheField>
    <cacheField name="Total Goal Involvement per match" numFmtId="2">
      <sharedItems containsSemiMixedTypes="0" containsString="0" containsNumber="1" minValue="0" maxValue="1.7"/>
    </cacheField>
    <cacheField name="Price To Earnings Ratio" numFmtId="165">
      <sharedItems containsSemiMixedTypes="0" containsString="0" containsNumber="1" minValue="0" maxValue="9.2592592592592601E-2"/>
    </cacheField>
    <cacheField name="Yellow Cards" numFmtId="0">
      <sharedItems containsSemiMixedTypes="0" containsString="0" containsNumber="1" containsInteger="1" minValue="0" maxValue="7"/>
    </cacheField>
    <cacheField name="Second Yellow Cards" numFmtId="0">
      <sharedItems containsSemiMixedTypes="0" containsString="0" containsNumber="1" containsInteger="1" minValue="0" maxValue="1"/>
    </cacheField>
    <cacheField name="Red Cards" numFmtId="0">
      <sharedItems containsSemiMixedTypes="0" containsString="0" containsNumber="1" containsInteger="1" minValue="0" maxValue="1"/>
    </cacheField>
    <cacheField name="Number Of Substitute In" numFmtId="0">
      <sharedItems containsSemiMixedTypes="0" containsString="0" containsNumber="1" containsInteger="1" minValue="0" maxValue="13"/>
    </cacheField>
    <cacheField name="Number Of Substitute Out" numFmtId="0">
      <sharedItems containsSemiMixedTypes="0" containsString="0" containsNumber="1" containsInteger="1" minValue="0" maxValue="20"/>
    </cacheField>
  </cacheFields>
  <extLst>
    <ext xmlns:x14="http://schemas.microsoft.com/office/spreadsheetml/2009/9/main" uri="{725AE2AE-9491-48be-B2B4-4EB974FC3084}">
      <x14:pivotCacheDefinition pivotCacheId="71641486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n v="0"/>
    <x v="0"/>
    <s v="Centre-Forward"/>
    <x v="0"/>
    <x v="0"/>
    <x v="0"/>
    <n v="144"/>
    <x v="0"/>
    <x v="0"/>
    <s v="Paris Saint-Germain"/>
    <n v="16"/>
    <n v="7"/>
    <n v="0"/>
    <n v="11"/>
    <x v="0"/>
    <n v="1.125"/>
    <n v="7.8125E-3"/>
    <n v="3"/>
    <n v="0"/>
    <n v="0"/>
    <n v="0"/>
    <n v="8"/>
  </r>
  <r>
    <n v="1"/>
    <x v="1"/>
    <s v="Centre-Forward"/>
    <x v="0"/>
    <x v="1"/>
    <x v="0"/>
    <n v="135"/>
    <x v="0"/>
    <x v="1"/>
    <s v="Borussia Dortmund"/>
    <n v="10"/>
    <n v="13"/>
    <n v="0"/>
    <n v="4"/>
    <x v="1"/>
    <n v="1.7"/>
    <n v="1.2592592592592593E-2"/>
    <n v="1"/>
    <n v="0"/>
    <n v="0"/>
    <n v="0"/>
    <n v="1"/>
  </r>
  <r>
    <n v="2"/>
    <x v="2"/>
    <s v="Centre-Forward"/>
    <x v="0"/>
    <x v="2"/>
    <x v="1"/>
    <n v="108"/>
    <x v="0"/>
    <x v="2"/>
    <s v="Tottenham Hotspur"/>
    <n v="16"/>
    <n v="7"/>
    <n v="0"/>
    <n v="2"/>
    <x v="2"/>
    <n v="0.5625"/>
    <n v="5.208333333333333E-3"/>
    <n v="2"/>
    <n v="0"/>
    <n v="0"/>
    <n v="2"/>
    <n v="2"/>
  </r>
  <r>
    <n v="3"/>
    <x v="3"/>
    <s v="Left Winger"/>
    <x v="0"/>
    <x v="3"/>
    <x v="1"/>
    <n v="90"/>
    <x v="0"/>
    <x v="2"/>
    <s v="Manchester City"/>
    <n v="15"/>
    <n v="2"/>
    <n v="0"/>
    <n v="3"/>
    <x v="3"/>
    <n v="0.33333333333333331"/>
    <n v="3.7037037037037034E-3"/>
    <n v="1"/>
    <n v="0"/>
    <n v="0"/>
    <n v="2"/>
    <n v="8"/>
  </r>
  <r>
    <n v="4"/>
    <x v="4"/>
    <s v="Right Winger"/>
    <x v="0"/>
    <x v="4"/>
    <x v="1"/>
    <n v="90"/>
    <x v="0"/>
    <x v="3"/>
    <s v="Liverpool FC"/>
    <n v="15"/>
    <n v="15"/>
    <n v="0"/>
    <n v="6"/>
    <x v="4"/>
    <n v="1.4"/>
    <n v="1.5555555555555555E-2"/>
    <n v="1"/>
    <n v="0"/>
    <n v="0"/>
    <n v="0"/>
    <n v="3"/>
  </r>
  <r>
    <n v="5"/>
    <x v="5"/>
    <s v="Centre-Forward"/>
    <x v="0"/>
    <x v="2"/>
    <x v="1"/>
    <n v="90"/>
    <x v="0"/>
    <x v="4"/>
    <s v="Chelsea FC"/>
    <n v="11"/>
    <n v="4"/>
    <n v="0"/>
    <n v="1"/>
    <x v="3"/>
    <n v="0.45454545454545453"/>
    <n v="5.0505050505050501E-3"/>
    <n v="0"/>
    <n v="0"/>
    <n v="0"/>
    <n v="1"/>
    <n v="2"/>
  </r>
  <r>
    <n v="6"/>
    <x v="6"/>
    <s v="Attacking Midfield"/>
    <x v="1"/>
    <x v="5"/>
    <x v="2"/>
    <n v="90"/>
    <x v="0"/>
    <x v="4"/>
    <s v="Manchester City"/>
    <n v="14"/>
    <n v="3"/>
    <n v="0"/>
    <n v="1"/>
    <x v="5"/>
    <n v="0.2857142857142857"/>
    <n v="3.1746031746031746E-3"/>
    <n v="1"/>
    <n v="0"/>
    <n v="0"/>
    <n v="4"/>
    <n v="6"/>
  </r>
  <r>
    <n v="7"/>
    <x v="7"/>
    <s v="Left Winger"/>
    <x v="0"/>
    <x v="4"/>
    <x v="1"/>
    <n v="90"/>
    <x v="0"/>
    <x v="5"/>
    <s v="Paris Saint-Germain"/>
    <n v="11"/>
    <n v="3"/>
    <n v="0"/>
    <n v="3"/>
    <x v="6"/>
    <n v="0.54545454545454541"/>
    <n v="6.0606060606060597E-3"/>
    <n v="3"/>
    <n v="0"/>
    <n v="0"/>
    <n v="0"/>
    <n v="3"/>
  </r>
  <r>
    <n v="8"/>
    <x v="8"/>
    <s v="Left Winger"/>
    <x v="0"/>
    <x v="1"/>
    <x v="0"/>
    <n v="81"/>
    <x v="1"/>
    <x v="2"/>
    <s v="Manchester United"/>
    <n v="13"/>
    <n v="0"/>
    <n v="0"/>
    <n v="0"/>
    <x v="7"/>
    <n v="0"/>
    <n v="0"/>
    <n v="0"/>
    <n v="0"/>
    <n v="0"/>
    <n v="7"/>
    <n v="5"/>
  </r>
  <r>
    <n v="9"/>
    <x v="9"/>
    <s v="Central Midfield"/>
    <x v="1"/>
    <x v="6"/>
    <x v="1"/>
    <n v="81"/>
    <x v="1"/>
    <x v="6"/>
    <s v="FC Barcelona"/>
    <n v="13"/>
    <n v="0"/>
    <n v="0"/>
    <n v="2"/>
    <x v="8"/>
    <n v="0.15384615384615385"/>
    <n v="1.8993352326685661E-3"/>
    <n v="2"/>
    <n v="1"/>
    <n v="0"/>
    <n v="0"/>
    <n v="2"/>
  </r>
  <r>
    <n v="10"/>
    <x v="10"/>
    <s v="Attacking Midfield"/>
    <x v="1"/>
    <x v="7"/>
    <x v="1"/>
    <n v="81"/>
    <x v="1"/>
    <x v="7"/>
    <s v="Manchester United"/>
    <n v="18"/>
    <n v="5"/>
    <n v="0"/>
    <n v="8"/>
    <x v="9"/>
    <n v="0.72222222222222221"/>
    <n v="8.9163237311385458E-3"/>
    <n v="3"/>
    <n v="0"/>
    <n v="0"/>
    <n v="3"/>
    <n v="5"/>
  </r>
  <r>
    <n v="11"/>
    <x v="11"/>
    <s v="Defensive Midfield"/>
    <x v="1"/>
    <x v="3"/>
    <x v="1"/>
    <n v="81"/>
    <x v="1"/>
    <x v="8"/>
    <s v="Bayern Munich"/>
    <n v="18"/>
    <n v="3"/>
    <n v="0"/>
    <n v="4"/>
    <x v="10"/>
    <n v="0.3888888888888889"/>
    <n v="4.8010973936899867E-3"/>
    <n v="1"/>
    <n v="0"/>
    <n v="0"/>
    <n v="0"/>
    <n v="3"/>
  </r>
  <r>
    <n v="12"/>
    <x v="12"/>
    <s v="Left Winger"/>
    <x v="0"/>
    <x v="3"/>
    <x v="1"/>
    <n v="81"/>
    <x v="1"/>
    <x v="2"/>
    <s v="Manchester City"/>
    <n v="15"/>
    <n v="2"/>
    <n v="0"/>
    <n v="2"/>
    <x v="5"/>
    <n v="0.26666666666666666"/>
    <n v="3.2921810699588477E-3"/>
    <n v="0"/>
    <n v="0"/>
    <n v="0"/>
    <n v="9"/>
    <n v="2"/>
  </r>
  <r>
    <n v="13"/>
    <x v="13"/>
    <s v="Left Winger"/>
    <x v="0"/>
    <x v="6"/>
    <x v="1"/>
    <n v="76.5"/>
    <x v="1"/>
    <x v="2"/>
    <s v="Manchester United"/>
    <n v="6"/>
    <n v="3"/>
    <n v="0"/>
    <n v="0"/>
    <x v="11"/>
    <n v="0.5"/>
    <n v="6.5359477124183009E-3"/>
    <n v="0"/>
    <n v="0"/>
    <n v="0"/>
    <n v="3"/>
    <n v="3"/>
  </r>
  <r>
    <n v="14"/>
    <x v="14"/>
    <s v="Left Winger"/>
    <x v="0"/>
    <x v="4"/>
    <x v="1"/>
    <n v="76.5"/>
    <x v="1"/>
    <x v="9"/>
    <s v="Liverpool FC"/>
    <n v="15"/>
    <n v="8"/>
    <n v="0"/>
    <n v="0"/>
    <x v="12"/>
    <n v="0.53333333333333333"/>
    <n v="6.9716775599128538E-3"/>
    <n v="1"/>
    <n v="0"/>
    <n v="0"/>
    <n v="2"/>
    <n v="3"/>
  </r>
  <r>
    <n v="15"/>
    <x v="15"/>
    <s v="Left Winger"/>
    <x v="0"/>
    <x v="4"/>
    <x v="1"/>
    <n v="76.5"/>
    <x v="1"/>
    <x v="10"/>
    <s v="Tottenham Hotspur"/>
    <n v="15"/>
    <n v="5"/>
    <n v="0"/>
    <n v="2"/>
    <x v="10"/>
    <n v="0.46666666666666667"/>
    <n v="6.100217864923747E-3"/>
    <n v="1"/>
    <n v="0"/>
    <n v="0"/>
    <n v="4"/>
    <n v="4"/>
  </r>
  <r>
    <n v="16"/>
    <x v="16"/>
    <s v="Central Midfield"/>
    <x v="1"/>
    <x v="8"/>
    <x v="3"/>
    <n v="72"/>
    <x v="1"/>
    <x v="11"/>
    <s v="FC Barcelona"/>
    <n v="5"/>
    <n v="0"/>
    <n v="0"/>
    <n v="0"/>
    <x v="7"/>
    <n v="0"/>
    <n v="0"/>
    <n v="0"/>
    <n v="0"/>
    <n v="0"/>
    <n v="1"/>
    <n v="2"/>
  </r>
  <r>
    <n v="17"/>
    <x v="17"/>
    <s v="Central Midfield"/>
    <x v="1"/>
    <x v="1"/>
    <x v="0"/>
    <n v="72"/>
    <x v="1"/>
    <x v="2"/>
    <s v="Manchester City"/>
    <n v="13"/>
    <n v="5"/>
    <n v="0"/>
    <n v="4"/>
    <x v="2"/>
    <n v="0.69230769230769229"/>
    <n v="9.6153846153846159E-3"/>
    <n v="0"/>
    <n v="0"/>
    <n v="0"/>
    <n v="4"/>
    <n v="3"/>
  </r>
  <r>
    <n v="18"/>
    <x v="18"/>
    <s v="Centre-Forward"/>
    <x v="0"/>
    <x v="6"/>
    <x v="1"/>
    <n v="72"/>
    <x v="1"/>
    <x v="12"/>
    <s v="Inter Milan"/>
    <n v="15"/>
    <n v="5"/>
    <n v="0"/>
    <n v="1"/>
    <x v="6"/>
    <n v="0.4"/>
    <n v="5.5555555555555558E-3"/>
    <n v="3"/>
    <n v="0"/>
    <n v="0"/>
    <n v="2"/>
    <n v="12"/>
  </r>
  <r>
    <n v="19"/>
    <x v="19"/>
    <s v="Central Midfield"/>
    <x v="1"/>
    <x v="3"/>
    <x v="1"/>
    <n v="72"/>
    <x v="1"/>
    <x v="11"/>
    <s v="Atlético de Madrid"/>
    <n v="11"/>
    <n v="0"/>
    <n v="0"/>
    <n v="0"/>
    <x v="7"/>
    <n v="0"/>
    <n v="0"/>
    <n v="1"/>
    <n v="0"/>
    <n v="0"/>
    <n v="1"/>
    <n v="2"/>
  </r>
  <r>
    <n v="20"/>
    <x v="20"/>
    <s v="Right Winger"/>
    <x v="0"/>
    <x v="9"/>
    <x v="2"/>
    <n v="72"/>
    <x v="1"/>
    <x v="12"/>
    <s v="Paris Saint-Germain"/>
    <n v="8"/>
    <n v="3"/>
    <n v="0"/>
    <n v="0"/>
    <x v="11"/>
    <n v="0.375"/>
    <n v="5.208333333333333E-3"/>
    <n v="1"/>
    <n v="0"/>
    <n v="0"/>
    <n v="1"/>
    <n v="2"/>
  </r>
  <r>
    <n v="21"/>
    <x v="21"/>
    <s v="Attacking Midfield"/>
    <x v="1"/>
    <x v="0"/>
    <x v="0"/>
    <n v="67.5"/>
    <x v="1"/>
    <x v="2"/>
    <s v="Chelsea FC"/>
    <n v="13"/>
    <n v="3"/>
    <n v="0"/>
    <n v="2"/>
    <x v="3"/>
    <n v="0.38461538461538464"/>
    <n v="5.6980056980056983E-3"/>
    <n v="0"/>
    <n v="0"/>
    <n v="0"/>
    <n v="6"/>
    <n v="3"/>
  </r>
  <r>
    <n v="22"/>
    <x v="22"/>
    <s v="Right-Back"/>
    <x v="2"/>
    <x v="10"/>
    <x v="0"/>
    <n v="67.5"/>
    <x v="1"/>
    <x v="2"/>
    <s v="Liverpool FC"/>
    <n v="12"/>
    <n v="1"/>
    <n v="0"/>
    <n v="7"/>
    <x v="12"/>
    <n v="0.66666666666666663"/>
    <n v="9.876543209876543E-3"/>
    <n v="1"/>
    <n v="0"/>
    <n v="0"/>
    <n v="0"/>
    <n v="3"/>
  </r>
  <r>
    <n v="23"/>
    <x v="23"/>
    <s v="Centre-Back"/>
    <x v="2"/>
    <x v="6"/>
    <x v="1"/>
    <n v="67.5"/>
    <x v="1"/>
    <x v="7"/>
    <s v="Manchester City"/>
    <n v="16"/>
    <n v="0"/>
    <n v="0"/>
    <n v="2"/>
    <x v="8"/>
    <n v="0.125"/>
    <n v="1.8518518518518519E-3"/>
    <n v="3"/>
    <n v="0"/>
    <n v="0"/>
    <n v="2"/>
    <n v="0"/>
  </r>
  <r>
    <n v="24"/>
    <x v="24"/>
    <s v="Centre-Back"/>
    <x v="2"/>
    <x v="7"/>
    <x v="1"/>
    <n v="67.5"/>
    <x v="1"/>
    <x v="5"/>
    <s v="Paris Saint-Germain"/>
    <n v="13"/>
    <n v="1"/>
    <n v="0"/>
    <n v="1"/>
    <x v="8"/>
    <n v="0.15384615384615385"/>
    <n v="2.2792022792022795E-3"/>
    <n v="2"/>
    <n v="0"/>
    <n v="0"/>
    <n v="0"/>
    <n v="0"/>
  </r>
  <r>
    <n v="25"/>
    <x v="25"/>
    <s v="Central Midfield"/>
    <x v="1"/>
    <x v="8"/>
    <x v="3"/>
    <n v="63"/>
    <x v="1"/>
    <x v="2"/>
    <s v="Borussia Dortmund"/>
    <n v="18"/>
    <n v="3"/>
    <n v="0"/>
    <n v="7"/>
    <x v="13"/>
    <n v="0.55555555555555558"/>
    <n v="8.8183421516754863E-3"/>
    <n v="4"/>
    <n v="0"/>
    <n v="0"/>
    <n v="0"/>
    <n v="6"/>
  </r>
  <r>
    <n v="26"/>
    <x v="26"/>
    <s v="Second Striker"/>
    <x v="0"/>
    <x v="0"/>
    <x v="0"/>
    <n v="63"/>
    <x v="1"/>
    <x v="7"/>
    <s v="Atlético de Madrid"/>
    <n v="11"/>
    <n v="1"/>
    <n v="0"/>
    <n v="2"/>
    <x v="11"/>
    <n v="0.27272727272727271"/>
    <n v="4.329004329004329E-3"/>
    <n v="3"/>
    <n v="1"/>
    <n v="0"/>
    <n v="5"/>
    <n v="4"/>
  </r>
  <r>
    <n v="27"/>
    <x v="27"/>
    <s v="Left-Back"/>
    <x v="2"/>
    <x v="1"/>
    <x v="0"/>
    <n v="63"/>
    <x v="1"/>
    <x v="13"/>
    <s v="Bayern Munich"/>
    <n v="15"/>
    <n v="0"/>
    <n v="0"/>
    <n v="5"/>
    <x v="3"/>
    <n v="0.33333333333333331"/>
    <n v="5.2910052910052907E-3"/>
    <n v="1"/>
    <n v="0"/>
    <n v="0"/>
    <n v="0"/>
    <n v="6"/>
  </r>
  <r>
    <n v="28"/>
    <x v="28"/>
    <s v="Right-Back"/>
    <x v="2"/>
    <x v="10"/>
    <x v="0"/>
    <n v="63"/>
    <x v="1"/>
    <x v="14"/>
    <s v="Paris Saint-Germain"/>
    <n v="17"/>
    <n v="3"/>
    <n v="0"/>
    <n v="2"/>
    <x v="3"/>
    <n v="0.29411764705882354"/>
    <n v="4.6685340802987861E-3"/>
    <n v="2"/>
    <n v="0"/>
    <n v="1"/>
    <n v="2"/>
    <n v="1"/>
  </r>
  <r>
    <n v="29"/>
    <x v="29"/>
    <s v="Defensive Midfield"/>
    <x v="1"/>
    <x v="0"/>
    <x v="0"/>
    <n v="63"/>
    <x v="1"/>
    <x v="2"/>
    <s v="West Ham United"/>
    <n v="15"/>
    <n v="3"/>
    <n v="0"/>
    <n v="3"/>
    <x v="6"/>
    <n v="0.4"/>
    <n v="6.3492063492063492E-3"/>
    <n v="4"/>
    <n v="0"/>
    <n v="0"/>
    <n v="0"/>
    <n v="2"/>
  </r>
  <r>
    <n v="30"/>
    <x v="30"/>
    <s v="Defensive Midfield"/>
    <x v="1"/>
    <x v="11"/>
    <x v="1"/>
    <n v="63"/>
    <x v="1"/>
    <x v="11"/>
    <s v="Manchester City"/>
    <n v="14"/>
    <n v="1"/>
    <n v="0"/>
    <n v="0"/>
    <x v="14"/>
    <n v="7.1428571428571425E-2"/>
    <n v="1.1337868480725624E-3"/>
    <n v="2"/>
    <n v="0"/>
    <n v="0"/>
    <n v="1"/>
    <n v="2"/>
  </r>
  <r>
    <n v="31"/>
    <x v="31"/>
    <s v="Left Winger"/>
    <x v="0"/>
    <x v="6"/>
    <x v="1"/>
    <n v="63"/>
    <x v="1"/>
    <x v="11"/>
    <s v="Real Sociedad"/>
    <n v="11"/>
    <n v="6"/>
    <n v="0"/>
    <n v="1"/>
    <x v="10"/>
    <n v="0.63636363636363635"/>
    <n v="1.01010101010101E-2"/>
    <n v="1"/>
    <n v="0"/>
    <n v="0"/>
    <n v="1"/>
    <n v="6"/>
  </r>
  <r>
    <n v="32"/>
    <x v="32"/>
    <s v="Right Winger"/>
    <x v="0"/>
    <x v="6"/>
    <x v="1"/>
    <n v="63"/>
    <x v="1"/>
    <x v="15"/>
    <s v="Juventus FC"/>
    <n v="13"/>
    <n v="3"/>
    <n v="0"/>
    <n v="2"/>
    <x v="3"/>
    <n v="0.38461538461538464"/>
    <n v="6.105006105006105E-3"/>
    <n v="0"/>
    <n v="0"/>
    <n v="0"/>
    <n v="3"/>
    <n v="6"/>
  </r>
  <r>
    <n v="33"/>
    <x v="33"/>
    <s v="Centre-Back"/>
    <x v="2"/>
    <x v="0"/>
    <x v="0"/>
    <n v="63"/>
    <x v="1"/>
    <x v="6"/>
    <s v="Juventus FC"/>
    <n v="12"/>
    <n v="1"/>
    <n v="0"/>
    <n v="0"/>
    <x v="14"/>
    <n v="8.3333333333333329E-2"/>
    <n v="1.3227513227513227E-3"/>
    <n v="1"/>
    <n v="0"/>
    <n v="0"/>
    <n v="1"/>
    <n v="1"/>
  </r>
  <r>
    <n v="34"/>
    <x v="34"/>
    <s v="Attacking Midfield"/>
    <x v="1"/>
    <x v="0"/>
    <x v="0"/>
    <n v="63"/>
    <x v="1"/>
    <x v="8"/>
    <s v="Chelsea FC"/>
    <n v="16"/>
    <n v="4"/>
    <n v="0"/>
    <n v="2"/>
    <x v="6"/>
    <n v="0.375"/>
    <n v="5.9523809523809521E-3"/>
    <n v="0"/>
    <n v="0"/>
    <n v="0"/>
    <n v="5"/>
    <n v="5"/>
  </r>
  <r>
    <n v="35"/>
    <x v="35"/>
    <s v="Central Midfield"/>
    <x v="1"/>
    <x v="3"/>
    <x v="1"/>
    <n v="63"/>
    <x v="1"/>
    <x v="16"/>
    <s v="SS Lazio"/>
    <n v="17"/>
    <n v="4"/>
    <n v="0"/>
    <n v="4"/>
    <x v="12"/>
    <n v="0.47058823529411764"/>
    <n v="7.4696545284780574E-3"/>
    <n v="3"/>
    <n v="0"/>
    <n v="0"/>
    <n v="5"/>
    <n v="7"/>
  </r>
  <r>
    <n v="36"/>
    <x v="36"/>
    <s v="Attacking Midfield"/>
    <x v="1"/>
    <x v="7"/>
    <x v="1"/>
    <n v="63"/>
    <x v="1"/>
    <x v="7"/>
    <s v="Manchester City"/>
    <n v="16"/>
    <n v="3"/>
    <n v="0"/>
    <n v="1"/>
    <x v="5"/>
    <n v="0.25"/>
    <n v="3.968253968253968E-3"/>
    <n v="3"/>
    <n v="0"/>
    <n v="0"/>
    <n v="2"/>
    <n v="6"/>
  </r>
  <r>
    <n v="37"/>
    <x v="37"/>
    <s v="Centre-Back"/>
    <x v="2"/>
    <x v="2"/>
    <x v="1"/>
    <n v="63"/>
    <x v="1"/>
    <x v="0"/>
    <s v="Manchester United"/>
    <n v="9"/>
    <n v="0"/>
    <n v="0"/>
    <n v="1"/>
    <x v="14"/>
    <n v="0.1111111111111111"/>
    <n v="1.7636684303350969E-3"/>
    <n v="1"/>
    <n v="0"/>
    <n v="0"/>
    <n v="1"/>
    <n v="1"/>
  </r>
  <r>
    <n v="38"/>
    <x v="38"/>
    <s v="Right Winger"/>
    <x v="0"/>
    <x v="3"/>
    <x v="1"/>
    <n v="63"/>
    <x v="1"/>
    <x v="8"/>
    <s v="Bayern Munich"/>
    <n v="18"/>
    <n v="8"/>
    <n v="0"/>
    <n v="4"/>
    <x v="15"/>
    <n v="0.66666666666666663"/>
    <n v="1.0582010582010581E-2"/>
    <n v="0"/>
    <n v="0"/>
    <n v="0"/>
    <n v="6"/>
    <n v="10"/>
  </r>
  <r>
    <n v="39"/>
    <x v="39"/>
    <s v="Central Midfield"/>
    <x v="1"/>
    <x v="3"/>
    <x v="1"/>
    <n v="63"/>
    <x v="1"/>
    <x v="8"/>
    <s v="Bayern Munich"/>
    <n v="14"/>
    <n v="2"/>
    <n v="0"/>
    <n v="2"/>
    <x v="5"/>
    <n v="0.2857142857142857"/>
    <n v="4.5351473922902496E-3"/>
    <n v="0"/>
    <n v="0"/>
    <n v="0"/>
    <n v="0"/>
    <n v="7"/>
  </r>
  <r>
    <n v="40"/>
    <x v="40"/>
    <s v="Goalkeeper"/>
    <x v="3"/>
    <x v="2"/>
    <x v="1"/>
    <n v="63"/>
    <x v="1"/>
    <x v="17"/>
    <s v="Atlético de Madrid"/>
    <n v="16"/>
    <n v="0"/>
    <n v="0"/>
    <n v="0"/>
    <x v="7"/>
    <n v="0"/>
    <n v="0"/>
    <n v="0"/>
    <n v="0"/>
    <n v="0"/>
    <n v="0"/>
    <n v="0"/>
  </r>
  <r>
    <n v="41"/>
    <x v="41"/>
    <s v="Defensive Midfield"/>
    <x v="1"/>
    <x v="4"/>
    <x v="1"/>
    <n v="63"/>
    <x v="1"/>
    <x v="5"/>
    <s v="Real Madrid"/>
    <n v="15"/>
    <n v="0"/>
    <n v="0"/>
    <n v="1"/>
    <x v="14"/>
    <n v="6.6666666666666666E-2"/>
    <n v="1.0582010582010583E-3"/>
    <n v="4"/>
    <n v="0"/>
    <n v="0"/>
    <n v="1"/>
    <n v="2"/>
  </r>
  <r>
    <n v="42"/>
    <x v="42"/>
    <s v="Attacking Midfield"/>
    <x v="1"/>
    <x v="8"/>
    <x v="3"/>
    <n v="58.5"/>
    <x v="1"/>
    <x v="8"/>
    <s v="Bayer 04 Leverkusen"/>
    <n v="14"/>
    <n v="7"/>
    <n v="0"/>
    <n v="7"/>
    <x v="16"/>
    <n v="1"/>
    <n v="1.7094017094017096E-2"/>
    <n v="2"/>
    <n v="0"/>
    <n v="0"/>
    <n v="4"/>
    <n v="8"/>
  </r>
  <r>
    <n v="43"/>
    <x v="43"/>
    <s v="Left Midfield"/>
    <x v="1"/>
    <x v="12"/>
    <x v="0"/>
    <n v="58.5"/>
    <x v="1"/>
    <x v="2"/>
    <s v="Arsenal FC"/>
    <n v="13"/>
    <n v="2"/>
    <n v="0"/>
    <n v="2"/>
    <x v="5"/>
    <n v="0.30769230769230771"/>
    <n v="5.2596975673898753E-3"/>
    <n v="1"/>
    <n v="0"/>
    <n v="0"/>
    <n v="2"/>
    <n v="7"/>
  </r>
  <r>
    <n v="44"/>
    <x v="44"/>
    <s v="Central Midfield"/>
    <x v="1"/>
    <x v="10"/>
    <x v="0"/>
    <n v="58.5"/>
    <x v="1"/>
    <x v="18"/>
    <s v="Real Madrid"/>
    <n v="12"/>
    <n v="0"/>
    <n v="0"/>
    <n v="1"/>
    <x v="14"/>
    <n v="8.3333333333333329E-2"/>
    <n v="1.4245014245014244E-3"/>
    <n v="0"/>
    <n v="0"/>
    <n v="0"/>
    <n v="2"/>
    <n v="4"/>
  </r>
  <r>
    <n v="45"/>
    <x v="45"/>
    <s v="Goalkeeper"/>
    <x v="3"/>
    <x v="0"/>
    <x v="0"/>
    <n v="58.5"/>
    <x v="1"/>
    <x v="15"/>
    <s v="Paris Saint-Germain"/>
    <n v="7"/>
    <n v="0"/>
    <n v="0"/>
    <n v="0"/>
    <x v="7"/>
    <n v="0"/>
    <n v="0"/>
    <n v="2"/>
    <n v="0"/>
    <n v="0"/>
    <n v="0"/>
    <n v="0"/>
  </r>
  <r>
    <n v="46"/>
    <x v="46"/>
    <s v="Central Midfield"/>
    <x v="1"/>
    <x v="6"/>
    <x v="1"/>
    <n v="58.5"/>
    <x v="1"/>
    <x v="15"/>
    <s v="Inter Milan"/>
    <n v="16"/>
    <n v="1"/>
    <n v="0"/>
    <n v="6"/>
    <x v="10"/>
    <n v="0.4375"/>
    <n v="7.478632478632479E-3"/>
    <n v="3"/>
    <n v="0"/>
    <n v="0"/>
    <n v="0"/>
    <n v="8"/>
  </r>
  <r>
    <n v="47"/>
    <x v="47"/>
    <s v="Left-Back"/>
    <x v="2"/>
    <x v="7"/>
    <x v="1"/>
    <n v="58.5"/>
    <x v="1"/>
    <x v="19"/>
    <s v="Liverpool FC"/>
    <n v="12"/>
    <n v="0"/>
    <n v="0"/>
    <n v="2"/>
    <x v="8"/>
    <n v="0.16666666666666666"/>
    <n v="2.8490028490028487E-3"/>
    <n v="2"/>
    <n v="0"/>
    <n v="0"/>
    <n v="1"/>
    <n v="2"/>
  </r>
  <r>
    <n v="48"/>
    <x v="48"/>
    <s v="Left Winger"/>
    <x v="0"/>
    <x v="13"/>
    <x v="3"/>
    <n v="54"/>
    <x v="2"/>
    <x v="11"/>
    <s v="FC Barcelona"/>
    <n v="8"/>
    <n v="4"/>
    <n v="0"/>
    <n v="1"/>
    <x v="3"/>
    <n v="0.625"/>
    <n v="1.1574074074074073E-2"/>
    <n v="0"/>
    <n v="0"/>
    <n v="0"/>
    <n v="4"/>
    <n v="4"/>
  </r>
  <r>
    <n v="49"/>
    <x v="49"/>
    <s v="Centre-Back"/>
    <x v="2"/>
    <x v="10"/>
    <x v="0"/>
    <n v="54"/>
    <x v="2"/>
    <x v="0"/>
    <s v="Sevilla FC"/>
    <n v="13"/>
    <n v="0"/>
    <n v="0"/>
    <n v="0"/>
    <x v="7"/>
    <n v="0"/>
    <n v="0"/>
    <n v="0"/>
    <n v="0"/>
    <n v="0"/>
    <n v="0"/>
    <n v="0"/>
  </r>
  <r>
    <n v="50"/>
    <x v="50"/>
    <s v="Centre-Forward"/>
    <x v="0"/>
    <x v="0"/>
    <x v="0"/>
    <n v="54"/>
    <x v="2"/>
    <x v="20"/>
    <s v="SSC Napoli"/>
    <n v="13"/>
    <n v="9"/>
    <n v="0"/>
    <n v="2"/>
    <x v="17"/>
    <n v="0.84615384615384615"/>
    <n v="1.5669515669515671E-2"/>
    <n v="2"/>
    <n v="0"/>
    <n v="1"/>
    <n v="2"/>
    <n v="6"/>
  </r>
  <r>
    <n v="51"/>
    <x v="51"/>
    <s v="Centre-Forward"/>
    <x v="0"/>
    <x v="6"/>
    <x v="1"/>
    <n v="54"/>
    <x v="2"/>
    <x v="5"/>
    <s v="Manchester City"/>
    <n v="14"/>
    <n v="4"/>
    <n v="0"/>
    <n v="5"/>
    <x v="2"/>
    <n v="0.6428571428571429"/>
    <n v="1.1904761904761906E-2"/>
    <n v="0"/>
    <n v="0"/>
    <n v="0"/>
    <n v="5"/>
    <n v="4"/>
  </r>
  <r>
    <n v="52"/>
    <x v="52"/>
    <s v="Centre-Back"/>
    <x v="2"/>
    <x v="10"/>
    <x v="0"/>
    <n v="54"/>
    <x v="2"/>
    <x v="0"/>
    <s v="Bayern Munich"/>
    <n v="16"/>
    <n v="0"/>
    <n v="0"/>
    <n v="4"/>
    <x v="5"/>
    <n v="0.25"/>
    <n v="4.6296296296296294E-3"/>
    <n v="5"/>
    <n v="0"/>
    <n v="0"/>
    <n v="1"/>
    <n v="2"/>
  </r>
  <r>
    <n v="53"/>
    <x v="53"/>
    <s v="Centre-Back"/>
    <x v="2"/>
    <x v="0"/>
    <x v="0"/>
    <n v="54"/>
    <x v="2"/>
    <x v="15"/>
    <s v="Inter Milan"/>
    <n v="15"/>
    <n v="0"/>
    <n v="0"/>
    <n v="1"/>
    <x v="14"/>
    <n v="6.6666666666666666E-2"/>
    <n v="1.2345679012345679E-3"/>
    <n v="2"/>
    <n v="0"/>
    <n v="0"/>
    <n v="1"/>
    <n v="6"/>
  </r>
  <r>
    <n v="54"/>
    <x v="54"/>
    <s v="Defensive Midfield"/>
    <x v="1"/>
    <x v="6"/>
    <x v="1"/>
    <n v="54"/>
    <x v="2"/>
    <x v="20"/>
    <s v="Leicester City"/>
    <n v="11"/>
    <n v="0"/>
    <n v="0"/>
    <n v="0"/>
    <x v="7"/>
    <n v="0"/>
    <n v="0"/>
    <n v="2"/>
    <n v="1"/>
    <n v="0"/>
    <n v="1"/>
    <n v="0"/>
  </r>
  <r>
    <n v="55"/>
    <x v="55"/>
    <s v="Centre-Back"/>
    <x v="2"/>
    <x v="3"/>
    <x v="1"/>
    <n v="54"/>
    <x v="2"/>
    <x v="18"/>
    <s v="Atlético de Madrid"/>
    <n v="13"/>
    <n v="0"/>
    <n v="0"/>
    <n v="0"/>
    <x v="7"/>
    <n v="0"/>
    <n v="0"/>
    <n v="4"/>
    <n v="0"/>
    <n v="0"/>
    <n v="1"/>
    <n v="1"/>
  </r>
  <r>
    <n v="56"/>
    <x v="56"/>
    <s v="Defensive Midfield"/>
    <x v="1"/>
    <x v="2"/>
    <x v="1"/>
    <n v="54"/>
    <x v="2"/>
    <x v="5"/>
    <s v="Liverpool FC"/>
    <n v="11"/>
    <n v="1"/>
    <n v="0"/>
    <n v="1"/>
    <x v="8"/>
    <n v="0.18181818181818182"/>
    <n v="3.3670033670033673E-3"/>
    <n v="2"/>
    <n v="0"/>
    <n v="0"/>
    <n v="2"/>
    <n v="2"/>
  </r>
  <r>
    <n v="57"/>
    <x v="57"/>
    <s v="Centre-Back"/>
    <x v="2"/>
    <x v="3"/>
    <x v="1"/>
    <n v="54"/>
    <x v="2"/>
    <x v="21"/>
    <s v="Inter Milan"/>
    <n v="15"/>
    <n v="3"/>
    <n v="0"/>
    <n v="0"/>
    <x v="11"/>
    <n v="0.2"/>
    <n v="3.7037037037037038E-3"/>
    <n v="2"/>
    <n v="0"/>
    <n v="0"/>
    <n v="0"/>
    <n v="0"/>
  </r>
  <r>
    <n v="58"/>
    <x v="58"/>
    <s v="Left Winger"/>
    <x v="0"/>
    <x v="11"/>
    <x v="1"/>
    <n v="54"/>
    <x v="2"/>
    <x v="8"/>
    <s v="Bayern Munich"/>
    <n v="18"/>
    <n v="8"/>
    <n v="0"/>
    <n v="10"/>
    <x v="0"/>
    <n v="1"/>
    <n v="1.8518518518518517E-2"/>
    <n v="2"/>
    <n v="0"/>
    <n v="0"/>
    <n v="3"/>
    <n v="11"/>
  </r>
  <r>
    <n v="59"/>
    <x v="59"/>
    <s v="Central Midfield"/>
    <x v="1"/>
    <x v="2"/>
    <x v="1"/>
    <n v="54"/>
    <x v="2"/>
    <x v="0"/>
    <s v="Manchester United"/>
    <n v="13"/>
    <n v="0"/>
    <n v="0"/>
    <n v="7"/>
    <x v="10"/>
    <n v="0.53846153846153844"/>
    <n v="9.9715099715099714E-3"/>
    <n v="4"/>
    <n v="0"/>
    <n v="1"/>
    <n v="3"/>
    <n v="4"/>
  </r>
  <r>
    <n v="60"/>
    <x v="60"/>
    <s v="Goalkeeper"/>
    <x v="3"/>
    <x v="4"/>
    <x v="1"/>
    <n v="54"/>
    <x v="2"/>
    <x v="4"/>
    <s v="Real Madrid"/>
    <n v="16"/>
    <n v="0"/>
    <n v="0"/>
    <n v="0"/>
    <x v="7"/>
    <n v="0"/>
    <n v="0"/>
    <n v="1"/>
    <n v="0"/>
    <n v="0"/>
    <n v="0"/>
    <n v="0"/>
  </r>
  <r>
    <n v="61"/>
    <x v="61"/>
    <s v="Goalkeeper"/>
    <x v="3"/>
    <x v="4"/>
    <x v="1"/>
    <n v="54"/>
    <x v="2"/>
    <x v="5"/>
    <s v="Liverpool FC"/>
    <n v="14"/>
    <n v="0"/>
    <n v="1"/>
    <n v="0"/>
    <x v="7"/>
    <n v="0"/>
    <n v="0"/>
    <n v="0"/>
    <n v="0"/>
    <n v="0"/>
    <n v="0"/>
    <n v="0"/>
  </r>
  <r>
    <n v="62"/>
    <x v="62"/>
    <s v="Central Midfield"/>
    <x v="1"/>
    <x v="4"/>
    <x v="1"/>
    <n v="54"/>
    <x v="2"/>
    <x v="11"/>
    <s v="Atlético de Madrid"/>
    <n v="13"/>
    <n v="0"/>
    <n v="0"/>
    <n v="1"/>
    <x v="14"/>
    <n v="7.6923076923076927E-2"/>
    <n v="1.4245014245014246E-3"/>
    <n v="3"/>
    <n v="0"/>
    <n v="0"/>
    <n v="0"/>
    <n v="4"/>
  </r>
  <r>
    <n v="63"/>
    <x v="63"/>
    <s v="Centre-Forward"/>
    <x v="0"/>
    <x v="14"/>
    <x v="2"/>
    <n v="54"/>
    <x v="2"/>
    <x v="22"/>
    <s v="Bayern Munich"/>
    <n v="17"/>
    <n v="23"/>
    <n v="0"/>
    <n v="2"/>
    <x v="18"/>
    <n v="1.4705882352941178"/>
    <n v="2.7233115468409588E-2"/>
    <n v="0"/>
    <n v="0"/>
    <n v="0"/>
    <n v="0"/>
    <n v="5"/>
  </r>
  <r>
    <n v="64"/>
    <x v="64"/>
    <s v="Central Midfield"/>
    <x v="1"/>
    <x v="13"/>
    <x v="3"/>
    <n v="49.5"/>
    <x v="2"/>
    <x v="0"/>
    <s v="Real Madrid"/>
    <n v="20"/>
    <n v="2"/>
    <n v="0"/>
    <n v="1"/>
    <x v="11"/>
    <n v="0.15"/>
    <n v="3.0303030303030303E-3"/>
    <n v="5"/>
    <n v="0"/>
    <n v="0"/>
    <n v="11"/>
    <n v="5"/>
  </r>
  <r>
    <n v="65"/>
    <x v="65"/>
    <s v="Centre-Forward"/>
    <x v="0"/>
    <x v="6"/>
    <x v="1"/>
    <n v="49.5"/>
    <x v="2"/>
    <x v="5"/>
    <s v="Everton FC"/>
    <n v="7"/>
    <n v="2"/>
    <n v="0"/>
    <n v="1"/>
    <x v="11"/>
    <n v="0.42857142857142855"/>
    <n v="8.658008658008658E-3"/>
    <n v="4"/>
    <n v="0"/>
    <n v="0"/>
    <n v="1"/>
    <n v="2"/>
  </r>
  <r>
    <n v="66"/>
    <x v="66"/>
    <s v="Central Midfield"/>
    <x v="1"/>
    <x v="6"/>
    <x v="1"/>
    <n v="49.5"/>
    <x v="2"/>
    <x v="23"/>
    <s v="AC Milan"/>
    <n v="12"/>
    <n v="2"/>
    <n v="0"/>
    <n v="0"/>
    <x v="8"/>
    <n v="0.16666666666666666"/>
    <n v="3.3670033670033669E-3"/>
    <n v="1"/>
    <n v="1"/>
    <n v="0"/>
    <n v="2"/>
    <n v="3"/>
  </r>
  <r>
    <n v="67"/>
    <x v="67"/>
    <s v="Central Midfield"/>
    <x v="1"/>
    <x v="6"/>
    <x v="1"/>
    <n v="49.5"/>
    <x v="2"/>
    <x v="4"/>
    <s v="Leicester City"/>
    <n v="17"/>
    <n v="3"/>
    <n v="0"/>
    <n v="3"/>
    <x v="6"/>
    <n v="0.35294117647058826"/>
    <n v="7.1301247771836012E-3"/>
    <n v="2"/>
    <n v="0"/>
    <n v="0"/>
    <n v="1"/>
    <n v="3"/>
  </r>
  <r>
    <n v="68"/>
    <x v="68"/>
    <s v="Right Winger"/>
    <x v="0"/>
    <x v="11"/>
    <x v="1"/>
    <n v="49.5"/>
    <x v="2"/>
    <x v="0"/>
    <s v="Bayern Munich"/>
    <n v="11"/>
    <n v="2"/>
    <n v="0"/>
    <n v="1"/>
    <x v="11"/>
    <n v="0.27272727272727271"/>
    <n v="5.5096418732782362E-3"/>
    <n v="0"/>
    <n v="0"/>
    <n v="0"/>
    <n v="6"/>
    <n v="5"/>
  </r>
  <r>
    <n v="69"/>
    <x v="69"/>
    <s v="Defensive Midfield"/>
    <x v="1"/>
    <x v="5"/>
    <x v="2"/>
    <n v="49.5"/>
    <x v="2"/>
    <x v="0"/>
    <s v="Chelsea FC"/>
    <n v="10"/>
    <n v="1"/>
    <n v="0"/>
    <n v="0"/>
    <x v="14"/>
    <n v="0.1"/>
    <n v="2.0202020202020202E-3"/>
    <n v="1"/>
    <n v="0"/>
    <n v="0"/>
    <n v="2"/>
    <n v="7"/>
  </r>
  <r>
    <n v="70"/>
    <x v="70"/>
    <s v="Right-Back"/>
    <x v="2"/>
    <x v="7"/>
    <x v="1"/>
    <n v="49.5"/>
    <x v="2"/>
    <x v="7"/>
    <s v="Manchester City"/>
    <n v="17"/>
    <n v="2"/>
    <n v="0"/>
    <n v="5"/>
    <x v="10"/>
    <n v="0.41176470588235292"/>
    <n v="8.3184789067142009E-3"/>
    <n v="4"/>
    <n v="0"/>
    <n v="0"/>
    <n v="1"/>
    <n v="1"/>
  </r>
  <r>
    <n v="71"/>
    <x v="71"/>
    <s v="Centre-Forward"/>
    <x v="0"/>
    <x v="11"/>
    <x v="1"/>
    <n v="49.5"/>
    <x v="2"/>
    <x v="8"/>
    <s v="Chelsea FC"/>
    <n v="10"/>
    <n v="2"/>
    <n v="0"/>
    <n v="1"/>
    <x v="11"/>
    <n v="0.3"/>
    <n v="6.0606060606060606E-3"/>
    <n v="1"/>
    <n v="0"/>
    <n v="0"/>
    <n v="3"/>
    <n v="2"/>
  </r>
  <r>
    <n v="72"/>
    <x v="72"/>
    <s v="Centre-Back"/>
    <x v="2"/>
    <x v="5"/>
    <x v="2"/>
    <n v="49.5"/>
    <x v="2"/>
    <x v="6"/>
    <s v="Liverpool FC"/>
    <n v="14"/>
    <n v="0"/>
    <n v="0"/>
    <n v="1"/>
    <x v="14"/>
    <n v="7.1428571428571425E-2"/>
    <n v="1.443001443001443E-3"/>
    <n v="0"/>
    <n v="0"/>
    <n v="0"/>
    <n v="0"/>
    <n v="0"/>
  </r>
  <r>
    <n v="73"/>
    <x v="73"/>
    <s v="Central Midfield"/>
    <x v="1"/>
    <x v="4"/>
    <x v="1"/>
    <n v="49.5"/>
    <x v="2"/>
    <x v="15"/>
    <s v="Paris Saint-Germain"/>
    <n v="7"/>
    <n v="0"/>
    <n v="0"/>
    <n v="0"/>
    <x v="7"/>
    <n v="0"/>
    <n v="0"/>
    <n v="4"/>
    <n v="0"/>
    <n v="0"/>
    <n v="0"/>
    <n v="5"/>
  </r>
  <r>
    <n v="74"/>
    <x v="74"/>
    <s v="Goalkeeper"/>
    <x v="3"/>
    <x v="4"/>
    <x v="1"/>
    <n v="49.5"/>
    <x v="2"/>
    <x v="8"/>
    <s v="FC Barcelona"/>
    <n v="14"/>
    <n v="0"/>
    <n v="0"/>
    <n v="0"/>
    <x v="7"/>
    <n v="0"/>
    <n v="0"/>
    <n v="1"/>
    <n v="0"/>
    <n v="0"/>
    <n v="0"/>
    <n v="0"/>
  </r>
  <r>
    <n v="75"/>
    <x v="75"/>
    <s v="Centre-Back"/>
    <x v="2"/>
    <x v="4"/>
    <x v="1"/>
    <n v="49.5"/>
    <x v="2"/>
    <x v="24"/>
    <s v="Real Madrid"/>
    <n v="15"/>
    <n v="1"/>
    <n v="0"/>
    <n v="3"/>
    <x v="5"/>
    <n v="0.26666666666666666"/>
    <n v="5.3872053872053875E-3"/>
    <n v="1"/>
    <n v="0"/>
    <n v="0"/>
    <n v="0"/>
    <n v="0"/>
  </r>
  <r>
    <n v="76"/>
    <x v="76"/>
    <s v="Attacking Midfield"/>
    <x v="1"/>
    <x v="8"/>
    <x v="3"/>
    <n v="45"/>
    <x v="2"/>
    <x v="8"/>
    <s v="Bayern Munich"/>
    <n v="16"/>
    <n v="4"/>
    <n v="0"/>
    <n v="4"/>
    <x v="12"/>
    <n v="0.5"/>
    <n v="1.1111111111111112E-2"/>
    <n v="0"/>
    <n v="0"/>
    <n v="0"/>
    <n v="12"/>
    <n v="4"/>
  </r>
  <r>
    <n v="77"/>
    <x v="77"/>
    <s v="Right Winger"/>
    <x v="0"/>
    <x v="12"/>
    <x v="0"/>
    <n v="45"/>
    <x v="2"/>
    <x v="2"/>
    <s v="Manchester United"/>
    <n v="14"/>
    <n v="4"/>
    <n v="0"/>
    <n v="1"/>
    <x v="3"/>
    <n v="0.35714285714285715"/>
    <n v="7.9365079365079361E-3"/>
    <n v="2"/>
    <n v="0"/>
    <n v="0"/>
    <n v="2"/>
    <n v="8"/>
  </r>
  <r>
    <n v="78"/>
    <x v="78"/>
    <s v="Centre-Back"/>
    <x v="2"/>
    <x v="6"/>
    <x v="1"/>
    <n v="45"/>
    <x v="2"/>
    <x v="11"/>
    <s v="Villarreal CF"/>
    <n v="15"/>
    <n v="1"/>
    <n v="0"/>
    <n v="0"/>
    <x v="14"/>
    <n v="6.6666666666666666E-2"/>
    <n v="1.4814814814814814E-3"/>
    <n v="1"/>
    <n v="0"/>
    <n v="0"/>
    <n v="0"/>
    <n v="0"/>
  </r>
  <r>
    <n v="79"/>
    <x v="79"/>
    <s v="Right Winger"/>
    <x v="0"/>
    <x v="1"/>
    <x v="0"/>
    <n v="45"/>
    <x v="2"/>
    <x v="11"/>
    <s v="Manchester City"/>
    <n v="7"/>
    <n v="3"/>
    <n v="0"/>
    <n v="1"/>
    <x v="5"/>
    <n v="0.5714285714285714"/>
    <n v="1.2698412698412698E-2"/>
    <n v="0"/>
    <n v="0"/>
    <n v="0"/>
    <n v="0"/>
    <n v="5"/>
  </r>
  <r>
    <n v="80"/>
    <x v="80"/>
    <s v="Left Winger"/>
    <x v="0"/>
    <x v="1"/>
    <x v="0"/>
    <n v="45"/>
    <x v="2"/>
    <x v="5"/>
    <s v="Real Madrid"/>
    <n v="16"/>
    <n v="9"/>
    <n v="0"/>
    <n v="7"/>
    <x v="19"/>
    <n v="1"/>
    <n v="2.2222222222222223E-2"/>
    <n v="3"/>
    <n v="0"/>
    <n v="0"/>
    <n v="2"/>
    <n v="6"/>
  </r>
  <r>
    <n v="81"/>
    <x v="81"/>
    <s v="Centre-Forward"/>
    <x v="0"/>
    <x v="1"/>
    <x v="0"/>
    <n v="45"/>
    <x v="2"/>
    <x v="16"/>
    <s v="ACF Fiorentina"/>
    <n v="15"/>
    <n v="12"/>
    <n v="0"/>
    <n v="3"/>
    <x v="20"/>
    <n v="1"/>
    <n v="2.2222222222222223E-2"/>
    <n v="2"/>
    <n v="0"/>
    <n v="0"/>
    <n v="1"/>
    <n v="1"/>
  </r>
  <r>
    <n v="82"/>
    <x v="82"/>
    <s v="Left-Back"/>
    <x v="2"/>
    <x v="6"/>
    <x v="1"/>
    <n v="45"/>
    <x v="2"/>
    <x v="0"/>
    <s v="AC Milan"/>
    <n v="12"/>
    <n v="1"/>
    <n v="0"/>
    <n v="3"/>
    <x v="5"/>
    <n v="0.33333333333333331"/>
    <n v="7.4074074074074068E-3"/>
    <n v="2"/>
    <n v="1"/>
    <n v="0"/>
    <n v="2"/>
    <n v="1"/>
  </r>
  <r>
    <n v="83"/>
    <x v="83"/>
    <s v="Right Winger"/>
    <x v="0"/>
    <x v="10"/>
    <x v="0"/>
    <n v="45"/>
    <x v="2"/>
    <x v="25"/>
    <s v="Chelsea FC"/>
    <n v="4"/>
    <n v="1"/>
    <n v="0"/>
    <n v="0"/>
    <x v="14"/>
    <n v="0.25"/>
    <n v="5.5555555555555558E-3"/>
    <n v="0"/>
    <n v="0"/>
    <n v="0"/>
    <n v="3"/>
    <n v="1"/>
  </r>
  <r>
    <n v="84"/>
    <x v="84"/>
    <s v="Attacking Midfield"/>
    <x v="1"/>
    <x v="6"/>
    <x v="1"/>
    <n v="45"/>
    <x v="2"/>
    <x v="2"/>
    <s v="Leicester City"/>
    <n v="16"/>
    <n v="1"/>
    <n v="0"/>
    <n v="1"/>
    <x v="8"/>
    <n v="0.125"/>
    <n v="2.7777777777777779E-3"/>
    <n v="1"/>
    <n v="0"/>
    <n v="0"/>
    <n v="6"/>
    <n v="9"/>
  </r>
  <r>
    <n v="85"/>
    <x v="85"/>
    <s v="Attacking Midfield"/>
    <x v="1"/>
    <x v="10"/>
    <x v="0"/>
    <n v="45"/>
    <x v="2"/>
    <x v="11"/>
    <s v="RB Leipzig"/>
    <n v="7"/>
    <n v="0"/>
    <n v="0"/>
    <n v="1"/>
    <x v="14"/>
    <n v="0.14285714285714285"/>
    <n v="3.1746031746031746E-3"/>
    <n v="0"/>
    <n v="0"/>
    <n v="0"/>
    <n v="3"/>
    <n v="4"/>
  </r>
  <r>
    <n v="86"/>
    <x v="86"/>
    <s v="Left-Back"/>
    <x v="2"/>
    <x v="3"/>
    <x v="1"/>
    <n v="45"/>
    <x v="2"/>
    <x v="0"/>
    <s v="Real Madrid"/>
    <n v="6"/>
    <n v="0"/>
    <n v="0"/>
    <n v="0"/>
    <x v="7"/>
    <n v="0"/>
    <n v="0"/>
    <n v="2"/>
    <n v="0"/>
    <n v="0"/>
    <n v="1"/>
    <n v="2"/>
  </r>
  <r>
    <n v="87"/>
    <x v="87"/>
    <s v="Right Winger"/>
    <x v="0"/>
    <x v="6"/>
    <x v="1"/>
    <n v="45"/>
    <x v="2"/>
    <x v="0"/>
    <s v="FC Barcelona"/>
    <n v="1"/>
    <n v="0"/>
    <n v="0"/>
    <n v="0"/>
    <x v="7"/>
    <n v="0"/>
    <n v="0"/>
    <n v="0"/>
    <n v="0"/>
    <n v="0"/>
    <n v="1"/>
    <n v="0"/>
  </r>
  <r>
    <n v="88"/>
    <x v="88"/>
    <s v="Goalkeeper"/>
    <x v="3"/>
    <x v="2"/>
    <x v="1"/>
    <n v="45"/>
    <x v="2"/>
    <x v="5"/>
    <s v="Manchester City"/>
    <n v="14"/>
    <n v="0"/>
    <n v="0"/>
    <n v="0"/>
    <x v="7"/>
    <n v="0"/>
    <n v="0"/>
    <n v="2"/>
    <n v="0"/>
    <n v="0"/>
    <n v="0"/>
    <n v="0"/>
  </r>
  <r>
    <n v="89"/>
    <x v="89"/>
    <s v="Second Striker"/>
    <x v="0"/>
    <x v="2"/>
    <x v="1"/>
    <n v="45"/>
    <x v="2"/>
    <x v="12"/>
    <s v="Juventus FC"/>
    <n v="11"/>
    <n v="6"/>
    <n v="0"/>
    <n v="4"/>
    <x v="13"/>
    <n v="0.90909090909090906"/>
    <n v="2.02020202020202E-2"/>
    <n v="1"/>
    <n v="0"/>
    <n v="0"/>
    <n v="1"/>
    <n v="5"/>
  </r>
  <r>
    <n v="90"/>
    <x v="90"/>
    <s v="Attacking Midfield"/>
    <x v="1"/>
    <x v="7"/>
    <x v="1"/>
    <n v="45"/>
    <x v="2"/>
    <x v="22"/>
    <s v="SSC Napoli"/>
    <n v="14"/>
    <n v="3"/>
    <n v="0"/>
    <n v="2"/>
    <x v="3"/>
    <n v="0.35714285714285715"/>
    <n v="7.9365079365079361E-3"/>
    <n v="0"/>
    <n v="0"/>
    <n v="0"/>
    <n v="3"/>
    <n v="11"/>
  </r>
  <r>
    <n v="91"/>
    <x v="91"/>
    <s v="Centre-Back"/>
    <x v="2"/>
    <x v="2"/>
    <x v="1"/>
    <n v="45"/>
    <x v="2"/>
    <x v="2"/>
    <s v="Manchester United"/>
    <n v="13"/>
    <n v="1"/>
    <n v="0"/>
    <n v="0"/>
    <x v="14"/>
    <n v="7.6923076923076927E-2"/>
    <n v="1.7094017094017094E-3"/>
    <n v="3"/>
    <n v="0"/>
    <n v="0"/>
    <n v="0"/>
    <n v="1"/>
  </r>
  <r>
    <n v="92"/>
    <x v="92"/>
    <s v="Second Striker"/>
    <x v="0"/>
    <x v="5"/>
    <x v="2"/>
    <n v="45"/>
    <x v="2"/>
    <x v="0"/>
    <s v="Atlético de Madrid"/>
    <n v="15"/>
    <n v="5"/>
    <n v="0"/>
    <n v="1"/>
    <x v="6"/>
    <n v="0.4"/>
    <n v="8.8888888888888889E-3"/>
    <n v="1"/>
    <n v="0"/>
    <n v="1"/>
    <n v="3"/>
    <n v="6"/>
  </r>
  <r>
    <n v="93"/>
    <x v="93"/>
    <s v="Centre-Back"/>
    <x v="2"/>
    <x v="4"/>
    <x v="1"/>
    <n v="45"/>
    <x v="2"/>
    <x v="6"/>
    <s v="Inter Milan"/>
    <n v="15"/>
    <n v="1"/>
    <n v="1"/>
    <n v="0"/>
    <x v="14"/>
    <n v="6.6666666666666666E-2"/>
    <n v="1.4814814814814814E-3"/>
    <n v="1"/>
    <n v="0"/>
    <n v="0"/>
    <n v="0"/>
    <n v="3"/>
  </r>
  <r>
    <n v="94"/>
    <x v="94"/>
    <s v="Left Winger"/>
    <x v="0"/>
    <x v="5"/>
    <x v="2"/>
    <n v="43.2"/>
    <x v="2"/>
    <x v="15"/>
    <s v="SSC Napoli"/>
    <n v="14"/>
    <n v="5"/>
    <n v="0"/>
    <n v="4"/>
    <x v="2"/>
    <n v="0.6428571428571429"/>
    <n v="1.4880952380952382E-2"/>
    <n v="0"/>
    <n v="0"/>
    <n v="0"/>
    <n v="0"/>
    <n v="13"/>
  </r>
  <r>
    <n v="95"/>
    <x v="95"/>
    <s v="Centre-Back"/>
    <x v="2"/>
    <x v="5"/>
    <x v="2"/>
    <n v="43.2"/>
    <x v="2"/>
    <x v="9"/>
    <s v="SSC Napoli"/>
    <n v="15"/>
    <n v="2"/>
    <n v="0"/>
    <n v="1"/>
    <x v="11"/>
    <n v="0.2"/>
    <n v="4.6296296296296294E-3"/>
    <n v="2"/>
    <n v="0"/>
    <n v="1"/>
    <n v="0"/>
    <n v="0"/>
  </r>
  <r>
    <n v="96"/>
    <x v="96"/>
    <s v="Attacking Midfield"/>
    <x v="1"/>
    <x v="6"/>
    <x v="1"/>
    <n v="42.3"/>
    <x v="2"/>
    <x v="0"/>
    <s v="RB Leipzig"/>
    <n v="17"/>
    <n v="11"/>
    <n v="0"/>
    <n v="7"/>
    <x v="0"/>
    <n v="1.0588235294117647"/>
    <n v="2.503128911138924E-2"/>
    <n v="0"/>
    <n v="0"/>
    <n v="0"/>
    <n v="1"/>
    <n v="7"/>
  </r>
  <r>
    <n v="97"/>
    <x v="97"/>
    <s v="Right-Back"/>
    <x v="2"/>
    <x v="1"/>
    <x v="0"/>
    <n v="40.5"/>
    <x v="2"/>
    <x v="2"/>
    <s v="Chelsea FC"/>
    <n v="12"/>
    <n v="4"/>
    <n v="0"/>
    <n v="4"/>
    <x v="12"/>
    <n v="0.66666666666666663"/>
    <n v="1.6460905349794237E-2"/>
    <n v="2"/>
    <n v="0"/>
    <n v="1"/>
    <n v="3"/>
    <n v="1"/>
  </r>
  <r>
    <n v="98"/>
    <x v="98"/>
    <s v="Central Midfield"/>
    <x v="1"/>
    <x v="6"/>
    <x v="1"/>
    <n v="40.5"/>
    <x v="2"/>
    <x v="0"/>
    <s v="Tottenham Hotspur"/>
    <n v="11"/>
    <n v="2"/>
    <n v="0"/>
    <n v="0"/>
    <x v="8"/>
    <n v="0.18181818181818182"/>
    <n v="4.4893378226711564E-3"/>
    <n v="2"/>
    <n v="0"/>
    <n v="0"/>
    <n v="4"/>
    <n v="5"/>
  </r>
  <r>
    <n v="99"/>
    <x v="99"/>
    <s v="Central Midfield"/>
    <x v="1"/>
    <x v="11"/>
    <x v="1"/>
    <n v="40.5"/>
    <x v="2"/>
    <x v="11"/>
    <s v="SSC Napoli"/>
    <n v="15"/>
    <n v="3"/>
    <n v="0"/>
    <n v="3"/>
    <x v="6"/>
    <n v="0.4"/>
    <n v="9.876543209876543E-3"/>
    <n v="2"/>
    <n v="0"/>
    <n v="0"/>
    <n v="1"/>
    <n v="4"/>
  </r>
  <r>
    <n v="100"/>
    <x v="100"/>
    <s v="Left Winger"/>
    <x v="0"/>
    <x v="6"/>
    <x v="1"/>
    <n v="40.5"/>
    <x v="2"/>
    <x v="7"/>
    <s v="Liverpool FC"/>
    <n v="15"/>
    <n v="5"/>
    <n v="0"/>
    <n v="3"/>
    <x v="12"/>
    <n v="0.53333333333333333"/>
    <n v="1.3168724279835391E-2"/>
    <n v="2"/>
    <n v="0"/>
    <n v="0"/>
    <n v="4"/>
    <n v="8"/>
  </r>
  <r>
    <n v="101"/>
    <x v="101"/>
    <s v="Centre-Back"/>
    <x v="2"/>
    <x v="2"/>
    <x v="1"/>
    <n v="40.5"/>
    <x v="2"/>
    <x v="5"/>
    <s v="Sevilla FC"/>
    <n v="16"/>
    <n v="3"/>
    <n v="0"/>
    <n v="0"/>
    <x v="11"/>
    <n v="0.1875"/>
    <n v="4.6296296296296294E-3"/>
    <n v="3"/>
    <n v="1"/>
    <n v="0"/>
    <n v="0"/>
    <n v="1"/>
  </r>
  <r>
    <n v="102"/>
    <x v="102"/>
    <s v="Centre-Back"/>
    <x v="2"/>
    <x v="11"/>
    <x v="1"/>
    <n v="40.5"/>
    <x v="2"/>
    <x v="26"/>
    <s v="Leicester City"/>
    <n v="18"/>
    <n v="1"/>
    <n v="0"/>
    <n v="0"/>
    <x v="14"/>
    <n v="5.5555555555555552E-2"/>
    <n v="1.3717421124828531E-3"/>
    <n v="3"/>
    <n v="0"/>
    <n v="0"/>
    <n v="1"/>
    <n v="1"/>
  </r>
  <r>
    <n v="103"/>
    <x v="103"/>
    <s v="Right Winger"/>
    <x v="0"/>
    <x v="3"/>
    <x v="1"/>
    <n v="40.5"/>
    <x v="2"/>
    <x v="27"/>
    <s v="SSC Napoli"/>
    <n v="17"/>
    <n v="3"/>
    <n v="0"/>
    <n v="3"/>
    <x v="6"/>
    <n v="0.35294117647058826"/>
    <n v="8.7145969498910684E-3"/>
    <n v="1"/>
    <n v="0"/>
    <n v="0"/>
    <n v="8"/>
    <n v="9"/>
  </r>
  <r>
    <n v="104"/>
    <x v="104"/>
    <s v="Centre-Forward"/>
    <x v="0"/>
    <x v="6"/>
    <x v="1"/>
    <n v="40.5"/>
    <x v="2"/>
    <x v="2"/>
    <s v="Everton FC"/>
    <n v="3"/>
    <n v="3"/>
    <n v="0"/>
    <n v="0"/>
    <x v="11"/>
    <n v="1"/>
    <n v="2.4691358024691357E-2"/>
    <n v="0"/>
    <n v="0"/>
    <n v="0"/>
    <n v="0"/>
    <n v="2"/>
  </r>
  <r>
    <n v="105"/>
    <x v="105"/>
    <s v="Central Midfield"/>
    <x v="1"/>
    <x v="11"/>
    <x v="1"/>
    <n v="40.5"/>
    <x v="2"/>
    <x v="15"/>
    <s v="AS Roma"/>
    <n v="16"/>
    <n v="8"/>
    <n v="0"/>
    <n v="3"/>
    <x v="17"/>
    <n v="0.6875"/>
    <n v="1.6975308641975308E-2"/>
    <n v="2"/>
    <n v="0"/>
    <n v="0"/>
    <n v="1"/>
    <n v="4"/>
  </r>
  <r>
    <n v="106"/>
    <x v="106"/>
    <s v="Centre-Back"/>
    <x v="2"/>
    <x v="11"/>
    <x v="1"/>
    <n v="40.5"/>
    <x v="2"/>
    <x v="0"/>
    <s v="Bayern Munich"/>
    <n v="12"/>
    <n v="0"/>
    <n v="0"/>
    <n v="0"/>
    <x v="7"/>
    <n v="0"/>
    <n v="0"/>
    <n v="2"/>
    <n v="0"/>
    <n v="0"/>
    <n v="1"/>
    <n v="4"/>
  </r>
  <r>
    <n v="107"/>
    <x v="107"/>
    <s v="Centre-Back"/>
    <x v="2"/>
    <x v="7"/>
    <x v="1"/>
    <n v="40.5"/>
    <x v="2"/>
    <x v="11"/>
    <s v="Manchester City"/>
    <n v="11"/>
    <n v="1"/>
    <n v="0"/>
    <n v="0"/>
    <x v="14"/>
    <n v="9.0909090909090912E-2"/>
    <n v="2.2446689113355782E-3"/>
    <n v="4"/>
    <n v="0"/>
    <n v="1"/>
    <n v="0"/>
    <n v="2"/>
  </r>
  <r>
    <n v="108"/>
    <x v="108"/>
    <s v="Centre-Forward"/>
    <x v="0"/>
    <x v="7"/>
    <x v="1"/>
    <n v="40.5"/>
    <x v="2"/>
    <x v="6"/>
    <s v="FC Barcelona"/>
    <n v="16"/>
    <n v="6"/>
    <n v="0"/>
    <n v="2"/>
    <x v="12"/>
    <n v="0.5"/>
    <n v="1.2345679012345678E-2"/>
    <n v="1"/>
    <n v="0"/>
    <n v="0"/>
    <n v="0"/>
    <n v="2"/>
  </r>
  <r>
    <n v="109"/>
    <x v="109"/>
    <s v="Left Winger"/>
    <x v="0"/>
    <x v="4"/>
    <x v="1"/>
    <n v="40.5"/>
    <x v="2"/>
    <x v="23"/>
    <s v="Crystal Palace"/>
    <n v="11"/>
    <n v="4"/>
    <n v="0"/>
    <n v="1"/>
    <x v="3"/>
    <n v="0.45454545454545453"/>
    <n v="1.1223344556677889E-2"/>
    <n v="1"/>
    <n v="0"/>
    <n v="0"/>
    <n v="1"/>
    <n v="0"/>
  </r>
  <r>
    <n v="110"/>
    <x v="110"/>
    <s v="Centre-Forward"/>
    <x v="0"/>
    <x v="4"/>
    <x v="1"/>
    <n v="40.5"/>
    <x v="2"/>
    <x v="11"/>
    <s v="Juventus FC"/>
    <n v="14"/>
    <n v="4"/>
    <n v="0"/>
    <n v="1"/>
    <x v="3"/>
    <n v="0.35714285714285715"/>
    <n v="8.8183421516754845E-3"/>
    <n v="2"/>
    <n v="0"/>
    <n v="0"/>
    <n v="3"/>
    <n v="8"/>
  </r>
  <r>
    <n v="111"/>
    <x v="111"/>
    <s v="Defensive Midfield"/>
    <x v="1"/>
    <x v="4"/>
    <x v="1"/>
    <n v="40.5"/>
    <x v="2"/>
    <x v="15"/>
    <s v="Chelsea FC"/>
    <n v="15"/>
    <n v="3"/>
    <n v="0"/>
    <n v="1"/>
    <x v="5"/>
    <n v="0.26666666666666666"/>
    <n v="6.5843621399176953E-3"/>
    <n v="0"/>
    <n v="0"/>
    <n v="0"/>
    <n v="3"/>
    <n v="4"/>
  </r>
  <r>
    <n v="112"/>
    <x v="112"/>
    <s v="Central Midfield"/>
    <x v="1"/>
    <x v="7"/>
    <x v="1"/>
    <n v="40.5"/>
    <x v="2"/>
    <x v="28"/>
    <s v="Chelsea FC"/>
    <n v="13"/>
    <n v="1"/>
    <n v="0"/>
    <n v="5"/>
    <x v="6"/>
    <n v="0.46153846153846156"/>
    <n v="1.1396011396011397E-2"/>
    <n v="1"/>
    <n v="0"/>
    <n v="0"/>
    <n v="1"/>
    <n v="3"/>
  </r>
  <r>
    <n v="113"/>
    <x v="113"/>
    <s v="Centre-Forward"/>
    <x v="0"/>
    <x v="15"/>
    <x v="4"/>
    <n v="40.5"/>
    <x v="2"/>
    <x v="7"/>
    <s v="Manchester United"/>
    <n v="14"/>
    <n v="10"/>
    <n v="0"/>
    <n v="1"/>
    <x v="17"/>
    <n v="0.7857142857142857"/>
    <n v="1.9400352733686066E-2"/>
    <n v="4"/>
    <n v="0"/>
    <n v="0"/>
    <n v="2"/>
    <n v="3"/>
  </r>
  <r>
    <n v="114"/>
    <x v="114"/>
    <s v="Attacking Midfield"/>
    <x v="1"/>
    <x v="13"/>
    <x v="3"/>
    <n v="37.799999999999997"/>
    <x v="2"/>
    <x v="25"/>
    <s v="Borussia Dortmund"/>
    <n v="5"/>
    <n v="2"/>
    <n v="0"/>
    <n v="1"/>
    <x v="11"/>
    <n v="0.6"/>
    <n v="1.5873015873015872E-2"/>
    <n v="0"/>
    <n v="0"/>
    <n v="0"/>
    <n v="0"/>
    <n v="5"/>
  </r>
  <r>
    <n v="115"/>
    <x v="115"/>
    <s v="Left Winger"/>
    <x v="0"/>
    <x v="0"/>
    <x v="0"/>
    <n v="37.799999999999997"/>
    <x v="2"/>
    <x v="0"/>
    <s v="Bayer 04 Leverkusen"/>
    <n v="16"/>
    <n v="6"/>
    <n v="0"/>
    <n v="4"/>
    <x v="13"/>
    <n v="0.625"/>
    <n v="1.6534391534391537E-2"/>
    <n v="7"/>
    <n v="0"/>
    <n v="0"/>
    <n v="0"/>
    <n v="8"/>
  </r>
  <r>
    <n v="116"/>
    <x v="116"/>
    <s v="Defensive Midfield"/>
    <x v="1"/>
    <x v="3"/>
    <x v="1"/>
    <n v="37.799999999999997"/>
    <x v="2"/>
    <x v="29"/>
    <s v="West Ham United"/>
    <n v="18"/>
    <n v="2"/>
    <n v="1"/>
    <n v="1"/>
    <x v="11"/>
    <n v="0.16666666666666666"/>
    <n v="4.4091710758377423E-3"/>
    <n v="2"/>
    <n v="0"/>
    <n v="0"/>
    <n v="2"/>
    <n v="2"/>
  </r>
  <r>
    <n v="117"/>
    <x v="117"/>
    <s v="Defensive Midfield"/>
    <x v="1"/>
    <x v="6"/>
    <x v="1"/>
    <n v="37.799999999999997"/>
    <x v="2"/>
    <x v="7"/>
    <s v="Wolverhampton Wanderers"/>
    <n v="13"/>
    <n v="1"/>
    <n v="0"/>
    <n v="0"/>
    <x v="14"/>
    <n v="7.6923076923076927E-2"/>
    <n v="2.0350020350020353E-3"/>
    <n v="4"/>
    <n v="0"/>
    <n v="0"/>
    <n v="2"/>
    <n v="1"/>
  </r>
  <r>
    <n v="118"/>
    <x v="118"/>
    <s v="Left-Back"/>
    <x v="2"/>
    <x v="3"/>
    <x v="1"/>
    <n v="37.799999999999997"/>
    <x v="2"/>
    <x v="2"/>
    <s v="Manchester United"/>
    <n v="14"/>
    <n v="0"/>
    <n v="0"/>
    <n v="2"/>
    <x v="8"/>
    <n v="0.14285714285714285"/>
    <n v="3.779289493575208E-3"/>
    <n v="5"/>
    <n v="0"/>
    <n v="0"/>
    <n v="0"/>
    <n v="2"/>
  </r>
  <r>
    <n v="119"/>
    <x v="119"/>
    <s v="Right Winger"/>
    <x v="0"/>
    <x v="5"/>
    <x v="2"/>
    <n v="37.799999999999997"/>
    <x v="2"/>
    <x v="30"/>
    <s v="Manchester City"/>
    <n v="15"/>
    <n v="8"/>
    <n v="0"/>
    <n v="2"/>
    <x v="13"/>
    <n v="0.66666666666666663"/>
    <n v="1.7636684303350969E-2"/>
    <n v="0"/>
    <n v="0"/>
    <n v="0"/>
    <n v="6"/>
    <n v="3"/>
  </r>
  <r>
    <n v="120"/>
    <x v="120"/>
    <s v="Left-Back"/>
    <x v="2"/>
    <x v="13"/>
    <x v="3"/>
    <n v="36"/>
    <x v="2"/>
    <x v="7"/>
    <s v="Paris Saint-Germain"/>
    <n v="16"/>
    <n v="0"/>
    <n v="1"/>
    <n v="1"/>
    <x v="14"/>
    <n v="6.25E-2"/>
    <n v="1.736111111111111E-3"/>
    <n v="4"/>
    <n v="0"/>
    <n v="0"/>
    <n v="5"/>
    <n v="4"/>
  </r>
  <r>
    <n v="121"/>
    <x v="121"/>
    <s v="Centre-Back"/>
    <x v="2"/>
    <x v="0"/>
    <x v="0"/>
    <n v="36"/>
    <x v="2"/>
    <x v="31"/>
    <s v="Bayer 04 Leverkusen"/>
    <n v="7"/>
    <n v="0"/>
    <n v="0"/>
    <n v="0"/>
    <x v="7"/>
    <n v="0"/>
    <n v="0"/>
    <n v="1"/>
    <n v="0"/>
    <n v="0"/>
    <n v="2"/>
    <n v="0"/>
  </r>
  <r>
    <n v="122"/>
    <x v="122"/>
    <s v="Right-Back"/>
    <x v="2"/>
    <x v="10"/>
    <x v="0"/>
    <n v="36"/>
    <x v="2"/>
    <x v="2"/>
    <s v="Manchester United"/>
    <n v="14"/>
    <n v="0"/>
    <n v="0"/>
    <n v="0"/>
    <x v="7"/>
    <n v="0"/>
    <n v="0"/>
    <n v="2"/>
    <n v="0"/>
    <n v="1"/>
    <n v="0"/>
    <n v="0"/>
  </r>
  <r>
    <n v="123"/>
    <x v="123"/>
    <s v="Centre-Back"/>
    <x v="2"/>
    <x v="12"/>
    <x v="0"/>
    <n v="36"/>
    <x v="2"/>
    <x v="0"/>
    <s v="Leicester City"/>
    <n v="0"/>
    <n v="0"/>
    <n v="0"/>
    <n v="0"/>
    <x v="7"/>
    <n v="0"/>
    <n v="0"/>
    <n v="0"/>
    <n v="0"/>
    <n v="0"/>
    <n v="0"/>
    <n v="0"/>
  </r>
  <r>
    <n v="124"/>
    <x v="124"/>
    <s v="Centre-Forward"/>
    <x v="0"/>
    <x v="6"/>
    <x v="1"/>
    <n v="36"/>
    <x v="2"/>
    <x v="14"/>
    <s v="Sevilla FC"/>
    <n v="9"/>
    <n v="3"/>
    <n v="0"/>
    <n v="2"/>
    <x v="3"/>
    <n v="0.55555555555555558"/>
    <n v="1.54320987654321E-2"/>
    <n v="1"/>
    <n v="1"/>
    <n v="0"/>
    <n v="3"/>
    <n v="4"/>
  </r>
  <r>
    <n v="125"/>
    <x v="125"/>
    <s v="Centre-Back"/>
    <x v="2"/>
    <x v="10"/>
    <x v="0"/>
    <n v="36"/>
    <x v="2"/>
    <x v="5"/>
    <s v="Real Madrid"/>
    <n v="16"/>
    <n v="0"/>
    <n v="0"/>
    <n v="0"/>
    <x v="7"/>
    <n v="0"/>
    <n v="0"/>
    <n v="1"/>
    <n v="0"/>
    <n v="0"/>
    <n v="0"/>
    <n v="1"/>
  </r>
  <r>
    <n v="126"/>
    <x v="126"/>
    <s v="Right Winger"/>
    <x v="0"/>
    <x v="0"/>
    <x v="0"/>
    <n v="36"/>
    <x v="2"/>
    <x v="15"/>
    <s v="AS Roma"/>
    <n v="15"/>
    <n v="1"/>
    <n v="0"/>
    <n v="2"/>
    <x v="11"/>
    <n v="0.2"/>
    <n v="5.5555555555555558E-3"/>
    <n v="3"/>
    <n v="1"/>
    <n v="0"/>
    <n v="2"/>
    <n v="10"/>
  </r>
  <r>
    <n v="127"/>
    <x v="127"/>
    <s v="Central Midfield"/>
    <x v="1"/>
    <x v="6"/>
    <x v="1"/>
    <n v="36"/>
    <x v="2"/>
    <x v="11"/>
    <s v="Valencia CF"/>
    <n v="10"/>
    <n v="5"/>
    <n v="0"/>
    <n v="2"/>
    <x v="10"/>
    <n v="0.7"/>
    <n v="1.9444444444444445E-2"/>
    <n v="2"/>
    <n v="0"/>
    <n v="0"/>
    <n v="3"/>
    <n v="5"/>
  </r>
  <r>
    <n v="128"/>
    <x v="128"/>
    <s v="Defensive Midfield"/>
    <x v="1"/>
    <x v="11"/>
    <x v="1"/>
    <n v="36"/>
    <x v="2"/>
    <x v="2"/>
    <s v="Leeds United"/>
    <n v="11"/>
    <n v="1"/>
    <n v="0"/>
    <n v="1"/>
    <x v="8"/>
    <n v="0.18181818181818182"/>
    <n v="5.0505050505050509E-3"/>
    <n v="1"/>
    <n v="0"/>
    <n v="0"/>
    <n v="0"/>
    <n v="0"/>
  </r>
  <r>
    <n v="129"/>
    <x v="129"/>
    <s v="Centre-Forward"/>
    <x v="0"/>
    <x v="0"/>
    <x v="0"/>
    <n v="36"/>
    <x v="2"/>
    <x v="32"/>
    <s v="Real Sociedad"/>
    <n v="13"/>
    <n v="5"/>
    <n v="0"/>
    <n v="1"/>
    <x v="6"/>
    <n v="0.46153846153846156"/>
    <n v="1.2820512820512822E-2"/>
    <n v="2"/>
    <n v="0"/>
    <n v="0"/>
    <n v="2"/>
    <n v="11"/>
  </r>
  <r>
    <n v="130"/>
    <x v="130"/>
    <s v="Central Midfield"/>
    <x v="1"/>
    <x v="11"/>
    <x v="1"/>
    <n v="36"/>
    <x v="2"/>
    <x v="11"/>
    <s v="Real Sociedad"/>
    <n v="18"/>
    <n v="3"/>
    <n v="0"/>
    <n v="2"/>
    <x v="3"/>
    <n v="0.27777777777777779"/>
    <n v="7.7160493827160498E-3"/>
    <n v="4"/>
    <n v="0"/>
    <n v="0"/>
    <n v="0"/>
    <n v="3"/>
  </r>
  <r>
    <n v="131"/>
    <x v="131"/>
    <s v="Centre-Back"/>
    <x v="2"/>
    <x v="6"/>
    <x v="1"/>
    <n v="36"/>
    <x v="2"/>
    <x v="2"/>
    <s v="Arsenal FC"/>
    <n v="10"/>
    <n v="0"/>
    <n v="0"/>
    <n v="0"/>
    <x v="7"/>
    <n v="0"/>
    <n v="0"/>
    <n v="1"/>
    <n v="0"/>
    <n v="0"/>
    <n v="0"/>
    <n v="1"/>
  </r>
  <r>
    <n v="132"/>
    <x v="132"/>
    <s v="Attacking Midfield"/>
    <x v="1"/>
    <x v="0"/>
    <x v="0"/>
    <n v="36"/>
    <x v="2"/>
    <x v="1"/>
    <s v="Arsenal FC"/>
    <n v="10"/>
    <n v="1"/>
    <n v="0"/>
    <n v="1"/>
    <x v="8"/>
    <n v="0.2"/>
    <n v="5.5555555555555558E-3"/>
    <n v="1"/>
    <n v="0"/>
    <n v="0"/>
    <n v="3"/>
    <n v="4"/>
  </r>
  <r>
    <n v="133"/>
    <x v="133"/>
    <s v="Centre-Back"/>
    <x v="2"/>
    <x v="10"/>
    <x v="0"/>
    <n v="36"/>
    <x v="2"/>
    <x v="2"/>
    <s v="AC Milan"/>
    <n v="16"/>
    <n v="0"/>
    <n v="1"/>
    <n v="0"/>
    <x v="7"/>
    <n v="0"/>
    <n v="0"/>
    <n v="4"/>
    <n v="0"/>
    <n v="0"/>
    <n v="1"/>
    <n v="1"/>
  </r>
  <r>
    <n v="134"/>
    <x v="134"/>
    <s v="Centre-Back"/>
    <x v="2"/>
    <x v="3"/>
    <x v="1"/>
    <n v="36"/>
    <x v="2"/>
    <x v="0"/>
    <s v="Paris Saint-Germain"/>
    <n v="17"/>
    <n v="0"/>
    <n v="0"/>
    <n v="0"/>
    <x v="7"/>
    <n v="0"/>
    <n v="0"/>
    <n v="3"/>
    <n v="0"/>
    <n v="0"/>
    <n v="1"/>
    <n v="2"/>
  </r>
  <r>
    <n v="135"/>
    <x v="135"/>
    <s v="Second Striker"/>
    <x v="0"/>
    <x v="3"/>
    <x v="1"/>
    <n v="36"/>
    <x v="2"/>
    <x v="12"/>
    <s v="Atlético de Madrid"/>
    <n v="16"/>
    <n v="3"/>
    <n v="0"/>
    <n v="3"/>
    <x v="6"/>
    <n v="0.375"/>
    <n v="1.0416666666666666E-2"/>
    <n v="2"/>
    <n v="0"/>
    <n v="0"/>
    <n v="6"/>
    <n v="7"/>
  </r>
  <r>
    <n v="136"/>
    <x v="136"/>
    <s v="Central Midfield"/>
    <x v="1"/>
    <x v="7"/>
    <x v="1"/>
    <n v="36"/>
    <x v="2"/>
    <x v="12"/>
    <s v="Atlético de Madrid"/>
    <n v="15"/>
    <n v="0"/>
    <n v="0"/>
    <n v="2"/>
    <x v="8"/>
    <n v="0.13333333333333333"/>
    <n v="3.7037037037037038E-3"/>
    <n v="2"/>
    <n v="0"/>
    <n v="0"/>
    <n v="6"/>
    <n v="6"/>
  </r>
  <r>
    <n v="137"/>
    <x v="137"/>
    <s v="Defensive Midfield"/>
    <x v="1"/>
    <x v="2"/>
    <x v="1"/>
    <n v="36"/>
    <x v="2"/>
    <x v="33"/>
    <s v="Arsenal FC"/>
    <n v="8"/>
    <n v="1"/>
    <n v="0"/>
    <n v="0"/>
    <x v="14"/>
    <n v="0.125"/>
    <n v="3.472222222222222E-3"/>
    <n v="2"/>
    <n v="0"/>
    <n v="0"/>
    <n v="1"/>
    <n v="3"/>
  </r>
  <r>
    <n v="138"/>
    <x v="138"/>
    <s v="Attacking Midfield"/>
    <x v="1"/>
    <x v="3"/>
    <x v="1"/>
    <n v="36"/>
    <x v="2"/>
    <x v="0"/>
    <s v="Atlético de Madrid"/>
    <n v="9"/>
    <n v="2"/>
    <n v="0"/>
    <n v="2"/>
    <x v="5"/>
    <n v="0.44444444444444442"/>
    <n v="1.2345679012345678E-2"/>
    <n v="2"/>
    <n v="0"/>
    <n v="0"/>
    <n v="2"/>
    <n v="6"/>
  </r>
  <r>
    <n v="139"/>
    <x v="139"/>
    <s v="Centre-Forward"/>
    <x v="0"/>
    <x v="3"/>
    <x v="1"/>
    <n v="36"/>
    <x v="2"/>
    <x v="7"/>
    <s v="RB Leipzig"/>
    <n v="19"/>
    <n v="5"/>
    <n v="0"/>
    <n v="5"/>
    <x v="13"/>
    <n v="0.52631578947368418"/>
    <n v="1.4619883040935672E-2"/>
    <n v="0"/>
    <n v="0"/>
    <n v="0"/>
    <n v="6"/>
    <n v="10"/>
  </r>
  <r>
    <n v="140"/>
    <x v="140"/>
    <s v="Centre-Forward"/>
    <x v="0"/>
    <x v="4"/>
    <x v="1"/>
    <n v="36"/>
    <x v="2"/>
    <x v="11"/>
    <s v="Villarreal CF"/>
    <n v="8"/>
    <n v="3"/>
    <n v="0"/>
    <n v="1"/>
    <x v="5"/>
    <n v="0.5"/>
    <n v="1.3888888888888888E-2"/>
    <n v="3"/>
    <n v="0"/>
    <n v="0"/>
    <n v="0"/>
    <n v="1"/>
  </r>
  <r>
    <n v="141"/>
    <x v="141"/>
    <s v="Left-Back"/>
    <x v="2"/>
    <x v="7"/>
    <x v="1"/>
    <n v="36"/>
    <x v="2"/>
    <x v="7"/>
    <s v="Borussia Dortmund"/>
    <n v="9"/>
    <n v="3"/>
    <n v="0"/>
    <n v="0"/>
    <x v="11"/>
    <n v="0.33333333333333331"/>
    <n v="9.2592592592592587E-3"/>
    <n v="1"/>
    <n v="0"/>
    <n v="0"/>
    <n v="2"/>
    <n v="3"/>
  </r>
  <r>
    <n v="142"/>
    <x v="142"/>
    <s v="Central Midfield"/>
    <x v="1"/>
    <x v="3"/>
    <x v="1"/>
    <n v="36"/>
    <x v="2"/>
    <x v="34"/>
    <s v="Tottenham Hotspur"/>
    <n v="17"/>
    <n v="2"/>
    <n v="0"/>
    <n v="1"/>
    <x v="11"/>
    <n v="0.17647058823529413"/>
    <n v="4.9019607843137254E-3"/>
    <n v="0"/>
    <n v="0"/>
    <n v="0"/>
    <n v="4"/>
    <n v="2"/>
  </r>
  <r>
    <n v="143"/>
    <x v="143"/>
    <s v="Defensive Midfield"/>
    <x v="1"/>
    <x v="4"/>
    <x v="1"/>
    <n v="36"/>
    <x v="2"/>
    <x v="28"/>
    <s v="Inter Milan"/>
    <n v="16"/>
    <n v="1"/>
    <n v="0"/>
    <n v="2"/>
    <x v="11"/>
    <n v="0.1875"/>
    <n v="5.208333333333333E-3"/>
    <n v="3"/>
    <n v="0"/>
    <n v="0"/>
    <n v="0"/>
    <n v="6"/>
  </r>
  <r>
    <n v="144"/>
    <x v="144"/>
    <s v="Central Midfield"/>
    <x v="1"/>
    <x v="3"/>
    <x v="1"/>
    <n v="36"/>
    <x v="2"/>
    <x v="11"/>
    <s v="Chelsea FC"/>
    <n v="8"/>
    <n v="0"/>
    <n v="0"/>
    <n v="1"/>
    <x v="14"/>
    <n v="0.125"/>
    <n v="3.472222222222222E-3"/>
    <n v="0"/>
    <n v="0"/>
    <n v="0"/>
    <n v="3"/>
    <n v="2"/>
  </r>
  <r>
    <n v="145"/>
    <x v="145"/>
    <s v="Left Winger"/>
    <x v="0"/>
    <x v="2"/>
    <x v="1"/>
    <n v="36"/>
    <x v="2"/>
    <x v="4"/>
    <s v="Atlético de Madrid"/>
    <n v="16"/>
    <n v="2"/>
    <n v="0"/>
    <n v="2"/>
    <x v="5"/>
    <n v="0.25"/>
    <n v="6.9444444444444441E-3"/>
    <n v="3"/>
    <n v="0"/>
    <n v="0"/>
    <n v="2"/>
    <n v="7"/>
  </r>
  <r>
    <n v="146"/>
    <x v="146"/>
    <s v="Centre-Forward"/>
    <x v="0"/>
    <x v="5"/>
    <x v="2"/>
    <n v="36"/>
    <x v="2"/>
    <x v="5"/>
    <s v="Liverpool FC"/>
    <n v="11"/>
    <n v="6"/>
    <n v="0"/>
    <n v="1"/>
    <x v="10"/>
    <n v="0.63636363636363635"/>
    <n v="1.7676767676767676E-2"/>
    <n v="0"/>
    <n v="0"/>
    <n v="0"/>
    <n v="6"/>
    <n v="4"/>
  </r>
  <r>
    <n v="147"/>
    <x v="147"/>
    <s v="Central Midfield"/>
    <x v="1"/>
    <x v="4"/>
    <x v="1"/>
    <n v="36"/>
    <x v="2"/>
    <x v="11"/>
    <s v="SS Lazio"/>
    <n v="16"/>
    <n v="2"/>
    <n v="0"/>
    <n v="4"/>
    <x v="6"/>
    <n v="0.375"/>
    <n v="1.0416666666666666E-2"/>
    <n v="2"/>
    <n v="0"/>
    <n v="0"/>
    <n v="4"/>
    <n v="8"/>
  </r>
  <r>
    <n v="148"/>
    <x v="148"/>
    <s v="Central Midfield"/>
    <x v="1"/>
    <x v="16"/>
    <x v="2"/>
    <n v="36"/>
    <x v="2"/>
    <x v="8"/>
    <s v="Manchester City"/>
    <n v="12"/>
    <n v="2"/>
    <n v="0"/>
    <n v="2"/>
    <x v="5"/>
    <n v="0.33333333333333331"/>
    <n v="9.2592592592592587E-3"/>
    <n v="1"/>
    <n v="0"/>
    <n v="0"/>
    <n v="2"/>
    <n v="3"/>
  </r>
  <r>
    <n v="149"/>
    <x v="149"/>
    <s v="Defensive Midfield"/>
    <x v="1"/>
    <x v="10"/>
    <x v="0"/>
    <n v="34.200000000000003"/>
    <x v="2"/>
    <x v="30"/>
    <s v="AC Milan"/>
    <n v="16"/>
    <n v="1"/>
    <n v="0"/>
    <n v="1"/>
    <x v="8"/>
    <n v="0.125"/>
    <n v="3.6549707602339179E-3"/>
    <n v="1"/>
    <n v="0"/>
    <n v="0"/>
    <n v="8"/>
    <n v="4"/>
  </r>
  <r>
    <n v="150"/>
    <x v="150"/>
    <s v="Centre-Forward"/>
    <x v="0"/>
    <x v="6"/>
    <x v="1"/>
    <n v="34.200000000000003"/>
    <x v="2"/>
    <x v="2"/>
    <s v="AS Roma"/>
    <n v="17"/>
    <n v="5"/>
    <n v="0"/>
    <n v="2"/>
    <x v="10"/>
    <n v="0.41176470588235292"/>
    <n v="1.2039903680770552E-2"/>
    <n v="4"/>
    <n v="0"/>
    <n v="0"/>
    <n v="3"/>
    <n v="7"/>
  </r>
  <r>
    <n v="151"/>
    <x v="151"/>
    <s v="Left-Back"/>
    <x v="2"/>
    <x v="6"/>
    <x v="1"/>
    <n v="34.200000000000003"/>
    <x v="2"/>
    <x v="2"/>
    <s v="Chelsea FC"/>
    <n v="10"/>
    <n v="3"/>
    <n v="0"/>
    <n v="0"/>
    <x v="11"/>
    <n v="0.3"/>
    <n v="8.771929824561403E-3"/>
    <n v="0"/>
    <n v="0"/>
    <n v="0"/>
    <n v="3"/>
    <n v="1"/>
  </r>
  <r>
    <n v="152"/>
    <x v="152"/>
    <s v="Attacking Midfield"/>
    <x v="1"/>
    <x v="2"/>
    <x v="1"/>
    <n v="34.200000000000003"/>
    <x v="2"/>
    <x v="14"/>
    <s v="Chelsea FC"/>
    <n v="10"/>
    <n v="2"/>
    <n v="0"/>
    <n v="1"/>
    <x v="11"/>
    <n v="0.3"/>
    <n v="8.771929824561403E-3"/>
    <n v="2"/>
    <n v="0"/>
    <n v="0"/>
    <n v="2"/>
    <n v="7"/>
  </r>
  <r>
    <n v="153"/>
    <x v="153"/>
    <s v="Centre-Forward"/>
    <x v="0"/>
    <x v="16"/>
    <x v="2"/>
    <n v="34.200000000000003"/>
    <x v="2"/>
    <x v="15"/>
    <s v="SS Lazio"/>
    <n v="15"/>
    <n v="11"/>
    <n v="0"/>
    <n v="2"/>
    <x v="9"/>
    <n v="0.8666666666666667"/>
    <n v="2.5341130604288498E-2"/>
    <n v="2"/>
    <n v="0"/>
    <n v="0"/>
    <n v="0"/>
    <n v="7"/>
  </r>
  <r>
    <n v="154"/>
    <x v="154"/>
    <s v="Centre-Forward"/>
    <x v="0"/>
    <x v="1"/>
    <x v="0"/>
    <n v="31.5"/>
    <x v="2"/>
    <x v="13"/>
    <s v="LOSC Lille"/>
    <n v="18"/>
    <n v="9"/>
    <n v="0"/>
    <n v="0"/>
    <x v="2"/>
    <n v="0.5"/>
    <n v="1.5873015873015872E-2"/>
    <n v="0"/>
    <n v="0"/>
    <n v="0"/>
    <n v="3"/>
    <n v="9"/>
  </r>
  <r>
    <n v="155"/>
    <x v="155"/>
    <s v="Left Winger"/>
    <x v="0"/>
    <x v="1"/>
    <x v="0"/>
    <n v="31.5"/>
    <x v="2"/>
    <x v="7"/>
    <s v="Wolverhampton Wanderers"/>
    <n v="0"/>
    <n v="0"/>
    <n v="0"/>
    <n v="0"/>
    <x v="7"/>
    <n v="0"/>
    <n v="0"/>
    <n v="0"/>
    <n v="0"/>
    <n v="0"/>
    <n v="0"/>
    <n v="0"/>
  </r>
  <r>
    <n v="156"/>
    <x v="156"/>
    <s v="Defensive Midfield"/>
    <x v="1"/>
    <x v="10"/>
    <x v="0"/>
    <n v="31.5"/>
    <x v="2"/>
    <x v="5"/>
    <s v="Aston Villa"/>
    <n v="8"/>
    <n v="0"/>
    <n v="0"/>
    <n v="2"/>
    <x v="8"/>
    <n v="0.25"/>
    <n v="7.9365079365079361E-3"/>
    <n v="2"/>
    <n v="0"/>
    <n v="0"/>
    <n v="0"/>
    <n v="3"/>
  </r>
  <r>
    <n v="157"/>
    <x v="157"/>
    <s v="Attacking Midfield"/>
    <x v="1"/>
    <x v="6"/>
    <x v="1"/>
    <n v="31.5"/>
    <x v="2"/>
    <x v="5"/>
    <s v="Olympique Lyon"/>
    <n v="17"/>
    <n v="6"/>
    <n v="0"/>
    <n v="3"/>
    <x v="2"/>
    <n v="0.52941176470588236"/>
    <n v="1.680672268907563E-2"/>
    <n v="3"/>
    <n v="0"/>
    <n v="0"/>
    <n v="5"/>
    <n v="4"/>
  </r>
  <r>
    <n v="158"/>
    <x v="158"/>
    <s v="Right Winger"/>
    <x v="0"/>
    <x v="1"/>
    <x v="0"/>
    <n v="31.5"/>
    <x v="2"/>
    <x v="32"/>
    <s v="Juventus FC"/>
    <n v="15"/>
    <n v="1"/>
    <n v="0"/>
    <n v="1"/>
    <x v="8"/>
    <n v="0.13333333333333333"/>
    <n v="4.2328042328042331E-3"/>
    <n v="2"/>
    <n v="0"/>
    <n v="0"/>
    <n v="13"/>
    <n v="1"/>
  </r>
  <r>
    <n v="159"/>
    <x v="159"/>
    <s v="Centre-Forward"/>
    <x v="0"/>
    <x v="1"/>
    <x v="0"/>
    <n v="31.5"/>
    <x v="2"/>
    <x v="0"/>
    <s v="OGC Nice"/>
    <n v="17"/>
    <n v="8"/>
    <n v="0"/>
    <n v="6"/>
    <x v="16"/>
    <n v="0.82352941176470584"/>
    <n v="2.61437908496732E-2"/>
    <n v="1"/>
    <n v="0"/>
    <n v="0"/>
    <n v="1"/>
    <n v="6"/>
  </r>
  <r>
    <n v="160"/>
    <x v="160"/>
    <s v="Defensive Midfield"/>
    <x v="1"/>
    <x v="1"/>
    <x v="0"/>
    <n v="31.5"/>
    <x v="2"/>
    <x v="0"/>
    <s v="AS Monaco"/>
    <n v="20"/>
    <n v="2"/>
    <n v="0"/>
    <n v="0"/>
    <x v="8"/>
    <n v="0.1"/>
    <n v="3.1746031746031746E-3"/>
    <n v="5"/>
    <n v="0"/>
    <n v="0"/>
    <n v="1"/>
    <n v="4"/>
  </r>
  <r>
    <n v="161"/>
    <x v="161"/>
    <s v="Right Winger"/>
    <x v="0"/>
    <x v="12"/>
    <x v="0"/>
    <n v="31.5"/>
    <x v="2"/>
    <x v="5"/>
    <s v="Real Madrid"/>
    <n v="14"/>
    <n v="2"/>
    <n v="0"/>
    <n v="1"/>
    <x v="11"/>
    <n v="0.21428571428571427"/>
    <n v="6.8027210884353739E-3"/>
    <n v="2"/>
    <n v="0"/>
    <n v="0"/>
    <n v="9"/>
    <n v="5"/>
  </r>
  <r>
    <n v="162"/>
    <x v="162"/>
    <s v="Left Midfield"/>
    <x v="1"/>
    <x v="10"/>
    <x v="0"/>
    <n v="31.5"/>
    <x v="2"/>
    <x v="2"/>
    <s v="Leicester City"/>
    <n v="13"/>
    <n v="3"/>
    <n v="0"/>
    <n v="2"/>
    <x v="3"/>
    <n v="0.38461538461538464"/>
    <n v="1.221001221001221E-2"/>
    <n v="2"/>
    <n v="0"/>
    <n v="0"/>
    <n v="2"/>
    <n v="6"/>
  </r>
  <r>
    <n v="163"/>
    <x v="163"/>
    <s v="Central Midfield"/>
    <x v="1"/>
    <x v="10"/>
    <x v="0"/>
    <n v="31.5"/>
    <x v="2"/>
    <x v="0"/>
    <s v="Olympique Lyon"/>
    <n v="17"/>
    <n v="5"/>
    <n v="0"/>
    <n v="2"/>
    <x v="10"/>
    <n v="0.41176470588235292"/>
    <n v="1.30718954248366E-2"/>
    <n v="0"/>
    <n v="0"/>
    <n v="0"/>
    <n v="1"/>
    <n v="6"/>
  </r>
  <r>
    <n v="164"/>
    <x v="164"/>
    <s v="Left Winger"/>
    <x v="0"/>
    <x v="6"/>
    <x v="1"/>
    <n v="31.5"/>
    <x v="2"/>
    <x v="35"/>
    <s v="Aston Villa"/>
    <n v="6"/>
    <n v="1"/>
    <n v="0"/>
    <n v="2"/>
    <x v="11"/>
    <n v="0.5"/>
    <n v="1.5873015873015872E-2"/>
    <n v="1"/>
    <n v="0"/>
    <n v="0"/>
    <n v="4"/>
    <n v="2"/>
  </r>
  <r>
    <n v="165"/>
    <x v="165"/>
    <s v="Centre-Forward"/>
    <x v="0"/>
    <x v="1"/>
    <x v="0"/>
    <n v="31.5"/>
    <x v="2"/>
    <x v="15"/>
    <s v="Juventus FC"/>
    <n v="11"/>
    <n v="2"/>
    <n v="0"/>
    <n v="0"/>
    <x v="8"/>
    <n v="0.18181818181818182"/>
    <n v="5.772005772005772E-3"/>
    <n v="1"/>
    <n v="0"/>
    <n v="1"/>
    <n v="7"/>
    <n v="3"/>
  </r>
  <r>
    <n v="166"/>
    <x v="166"/>
    <s v="Central Midfield"/>
    <x v="1"/>
    <x v="11"/>
    <x v="1"/>
    <n v="31.5"/>
    <x v="2"/>
    <x v="5"/>
    <s v="Juventus FC"/>
    <n v="6"/>
    <n v="0"/>
    <n v="0"/>
    <n v="0"/>
    <x v="7"/>
    <n v="0"/>
    <n v="0"/>
    <n v="2"/>
    <n v="0"/>
    <n v="0"/>
    <n v="5"/>
    <n v="1"/>
  </r>
  <r>
    <n v="167"/>
    <x v="167"/>
    <s v="Centre-Back"/>
    <x v="2"/>
    <x v="0"/>
    <x v="0"/>
    <n v="31.5"/>
    <x v="2"/>
    <x v="0"/>
    <s v="Liverpool FC"/>
    <n v="4"/>
    <n v="0"/>
    <n v="0"/>
    <n v="0"/>
    <x v="7"/>
    <n v="0"/>
    <n v="0"/>
    <n v="0"/>
    <n v="0"/>
    <n v="0"/>
    <n v="0"/>
    <n v="0"/>
  </r>
  <r>
    <n v="168"/>
    <x v="168"/>
    <s v="Centre-Back"/>
    <x v="2"/>
    <x v="10"/>
    <x v="0"/>
    <n v="31.5"/>
    <x v="2"/>
    <x v="12"/>
    <s v="Tottenham Hotspur"/>
    <n v="13"/>
    <n v="0"/>
    <n v="0"/>
    <n v="0"/>
    <x v="7"/>
    <n v="0"/>
    <n v="0"/>
    <n v="5"/>
    <n v="1"/>
    <n v="0"/>
    <n v="1"/>
    <n v="1"/>
  </r>
  <r>
    <n v="169"/>
    <x v="169"/>
    <s v="Right-Back"/>
    <x v="2"/>
    <x v="11"/>
    <x v="1"/>
    <n v="31.5"/>
    <x v="2"/>
    <x v="0"/>
    <s v="Bayern Munich"/>
    <n v="9"/>
    <n v="0"/>
    <n v="0"/>
    <n v="1"/>
    <x v="14"/>
    <n v="0.1111111111111111"/>
    <n v="3.5273368606701938E-3"/>
    <n v="0"/>
    <n v="0"/>
    <n v="1"/>
    <n v="2"/>
    <n v="3"/>
  </r>
  <r>
    <n v="170"/>
    <x v="170"/>
    <s v="Right Winger"/>
    <x v="0"/>
    <x v="3"/>
    <x v="1"/>
    <n v="31.5"/>
    <x v="2"/>
    <x v="23"/>
    <s v="Arsenal FC"/>
    <n v="9"/>
    <n v="1"/>
    <n v="0"/>
    <n v="3"/>
    <x v="5"/>
    <n v="0.44444444444444442"/>
    <n v="1.4109347442680775E-2"/>
    <n v="0"/>
    <n v="0"/>
    <n v="0"/>
    <n v="2"/>
    <n v="0"/>
  </r>
  <r>
    <n v="171"/>
    <x v="171"/>
    <s v="Right Winger"/>
    <x v="0"/>
    <x v="6"/>
    <x v="1"/>
    <n v="31.5"/>
    <x v="2"/>
    <x v="12"/>
    <s v="Aston Villa"/>
    <n v="10"/>
    <n v="1"/>
    <n v="0"/>
    <n v="1"/>
    <x v="8"/>
    <n v="0.2"/>
    <n v="6.3492063492063492E-3"/>
    <n v="1"/>
    <n v="0"/>
    <n v="0"/>
    <n v="2"/>
    <n v="6"/>
  </r>
  <r>
    <n v="172"/>
    <x v="172"/>
    <s v="Defensive Midfield"/>
    <x v="1"/>
    <x v="6"/>
    <x v="1"/>
    <n v="31.5"/>
    <x v="2"/>
    <x v="19"/>
    <s v="Manchester United"/>
    <n v="12"/>
    <n v="0"/>
    <n v="0"/>
    <n v="0"/>
    <x v="7"/>
    <n v="0"/>
    <n v="0"/>
    <n v="1"/>
    <n v="0"/>
    <n v="0"/>
    <n v="2"/>
    <n v="4"/>
  </r>
  <r>
    <n v="173"/>
    <x v="173"/>
    <s v="Right Winger"/>
    <x v="0"/>
    <x v="11"/>
    <x v="1"/>
    <n v="31.5"/>
    <x v="2"/>
    <x v="11"/>
    <s v="Real Madrid"/>
    <n v="13"/>
    <n v="3"/>
    <n v="0"/>
    <n v="1"/>
    <x v="5"/>
    <n v="0.30769230769230771"/>
    <n v="9.768009768009768E-3"/>
    <n v="0"/>
    <n v="0"/>
    <n v="0"/>
    <n v="8"/>
    <n v="5"/>
  </r>
  <r>
    <n v="174"/>
    <x v="174"/>
    <s v="Centre-Back"/>
    <x v="2"/>
    <x v="3"/>
    <x v="1"/>
    <n v="31.5"/>
    <x v="2"/>
    <x v="11"/>
    <s v="Atlético de Madrid"/>
    <n v="15"/>
    <n v="0"/>
    <n v="0"/>
    <n v="1"/>
    <x v="14"/>
    <n v="6.6666666666666666E-2"/>
    <n v="2.1164021164021165E-3"/>
    <n v="4"/>
    <n v="0"/>
    <n v="1"/>
    <n v="1"/>
    <n v="9"/>
  </r>
  <r>
    <n v="175"/>
    <x v="175"/>
    <s v="Left-Back"/>
    <x v="2"/>
    <x v="6"/>
    <x v="1"/>
    <n v="31.5"/>
    <x v="2"/>
    <x v="11"/>
    <s v="RB Leipzig"/>
    <n v="13"/>
    <n v="0"/>
    <n v="0"/>
    <n v="4"/>
    <x v="5"/>
    <n v="0.30769230769230771"/>
    <n v="9.768009768009768E-3"/>
    <n v="2"/>
    <n v="1"/>
    <n v="0"/>
    <n v="1"/>
    <n v="3"/>
  </r>
  <r>
    <n v="176"/>
    <x v="176"/>
    <s v="Left Midfield"/>
    <x v="1"/>
    <x v="7"/>
    <x v="1"/>
    <n v="31.5"/>
    <x v="2"/>
    <x v="8"/>
    <s v="Atalanta BC"/>
    <n v="8"/>
    <n v="2"/>
    <n v="0"/>
    <n v="1"/>
    <x v="11"/>
    <n v="0.375"/>
    <n v="1.1904761904761904E-2"/>
    <n v="2"/>
    <n v="0"/>
    <n v="0"/>
    <n v="1"/>
    <n v="4"/>
  </r>
  <r>
    <n v="177"/>
    <x v="177"/>
    <s v="Defensive Midfield"/>
    <x v="1"/>
    <x v="10"/>
    <x v="0"/>
    <n v="31.5"/>
    <x v="2"/>
    <x v="15"/>
    <s v="Juventus FC"/>
    <n v="16"/>
    <n v="2"/>
    <n v="0"/>
    <n v="2"/>
    <x v="5"/>
    <n v="0.25"/>
    <n v="7.9365079365079361E-3"/>
    <n v="2"/>
    <n v="0"/>
    <n v="0"/>
    <n v="4"/>
    <n v="4"/>
  </r>
  <r>
    <n v="178"/>
    <x v="178"/>
    <s v="Left-Back"/>
    <x v="2"/>
    <x v="3"/>
    <x v="1"/>
    <n v="31.5"/>
    <x v="2"/>
    <x v="11"/>
    <s v="Valencia CF"/>
    <n v="9"/>
    <n v="2"/>
    <n v="0"/>
    <n v="2"/>
    <x v="5"/>
    <n v="0.44444444444444442"/>
    <n v="1.4109347442680775E-2"/>
    <n v="2"/>
    <n v="0"/>
    <n v="0"/>
    <n v="0"/>
    <n v="2"/>
  </r>
  <r>
    <n v="179"/>
    <x v="179"/>
    <s v="Centre-Back"/>
    <x v="2"/>
    <x v="11"/>
    <x v="1"/>
    <n v="31.5"/>
    <x v="2"/>
    <x v="34"/>
    <s v="Chelsea FC"/>
    <n v="13"/>
    <n v="1"/>
    <n v="0"/>
    <n v="0"/>
    <x v="14"/>
    <n v="7.6923076923076927E-2"/>
    <n v="2.442002442002442E-3"/>
    <n v="1"/>
    <n v="0"/>
    <n v="0"/>
    <n v="1"/>
    <n v="1"/>
  </r>
  <r>
    <n v="180"/>
    <x v="180"/>
    <s v="Centre-Forward"/>
    <x v="0"/>
    <x v="11"/>
    <x v="1"/>
    <n v="31.5"/>
    <x v="2"/>
    <x v="0"/>
    <s v="Manchester United"/>
    <n v="7"/>
    <n v="1"/>
    <n v="0"/>
    <n v="0"/>
    <x v="14"/>
    <n v="0.14285714285714285"/>
    <n v="4.5351473922902496E-3"/>
    <n v="0"/>
    <n v="0"/>
    <n v="0"/>
    <n v="4"/>
    <n v="2"/>
  </r>
  <r>
    <n v="181"/>
    <x v="181"/>
    <s v="Right Winger"/>
    <x v="0"/>
    <x v="7"/>
    <x v="1"/>
    <n v="31.5"/>
    <x v="2"/>
    <x v="15"/>
    <s v="US Sassuolo"/>
    <n v="10"/>
    <n v="5"/>
    <n v="0"/>
    <n v="3"/>
    <x v="12"/>
    <n v="0.8"/>
    <n v="2.5396825396825397E-2"/>
    <n v="1"/>
    <n v="0"/>
    <n v="0"/>
    <n v="0"/>
    <n v="4"/>
  </r>
  <r>
    <n v="182"/>
    <x v="182"/>
    <s v="Centre-Forward"/>
    <x v="0"/>
    <x v="7"/>
    <x v="1"/>
    <n v="31.5"/>
    <x v="2"/>
    <x v="15"/>
    <s v="Torino FC"/>
    <n v="8"/>
    <n v="2"/>
    <n v="0"/>
    <n v="0"/>
    <x v="8"/>
    <n v="0.25"/>
    <n v="7.9365079365079361E-3"/>
    <n v="0"/>
    <n v="0"/>
    <n v="0"/>
    <n v="4"/>
    <n v="3"/>
  </r>
  <r>
    <n v="183"/>
    <x v="183"/>
    <s v="Centre-Back"/>
    <x v="2"/>
    <x v="3"/>
    <x v="1"/>
    <n v="31.5"/>
    <x v="2"/>
    <x v="8"/>
    <s v="Bayern Munich"/>
    <n v="17"/>
    <n v="0"/>
    <n v="0"/>
    <n v="1"/>
    <x v="14"/>
    <n v="5.8823529411764705E-2"/>
    <n v="1.8674136321195143E-3"/>
    <n v="3"/>
    <n v="0"/>
    <n v="0"/>
    <n v="3"/>
    <n v="5"/>
  </r>
  <r>
    <n v="184"/>
    <x v="184"/>
    <s v="Centre-Forward"/>
    <x v="0"/>
    <x v="16"/>
    <x v="2"/>
    <n v="31.5"/>
    <x v="2"/>
    <x v="0"/>
    <s v="AS Monaco"/>
    <n v="20"/>
    <n v="8"/>
    <n v="0"/>
    <n v="3"/>
    <x v="17"/>
    <n v="0.55000000000000004"/>
    <n v="1.7460317460317461E-2"/>
    <n v="1"/>
    <n v="0"/>
    <n v="0"/>
    <n v="6"/>
    <n v="11"/>
  </r>
  <r>
    <n v="185"/>
    <x v="185"/>
    <s v="Left-Back"/>
    <x v="2"/>
    <x v="2"/>
    <x v="1"/>
    <n v="31.5"/>
    <x v="2"/>
    <x v="0"/>
    <s v="Everton FC"/>
    <n v="12"/>
    <n v="1"/>
    <n v="1"/>
    <n v="0"/>
    <x v="14"/>
    <n v="8.3333333333333329E-2"/>
    <n v="2.6455026455026454E-3"/>
    <n v="3"/>
    <n v="0"/>
    <n v="0"/>
    <n v="1"/>
    <n v="1"/>
  </r>
  <r>
    <n v="186"/>
    <x v="186"/>
    <s v="Goalkeeper"/>
    <x v="3"/>
    <x v="4"/>
    <x v="1"/>
    <n v="31.5"/>
    <x v="2"/>
    <x v="12"/>
    <s v="Aston Villa"/>
    <n v="10"/>
    <n v="0"/>
    <n v="0"/>
    <n v="0"/>
    <x v="7"/>
    <n v="0"/>
    <n v="0"/>
    <n v="1"/>
    <n v="0"/>
    <n v="0"/>
    <n v="0"/>
    <n v="0"/>
  </r>
  <r>
    <n v="187"/>
    <x v="187"/>
    <s v="Centre-Back"/>
    <x v="2"/>
    <x v="2"/>
    <x v="1"/>
    <n v="31.5"/>
    <x v="2"/>
    <x v="8"/>
    <s v="Chelsea FC"/>
    <n v="15"/>
    <n v="1"/>
    <n v="0"/>
    <n v="1"/>
    <x v="8"/>
    <n v="0.13333333333333333"/>
    <n v="4.2328042328042331E-3"/>
    <n v="4"/>
    <n v="0"/>
    <n v="0"/>
    <n v="0"/>
    <n v="0"/>
  </r>
  <r>
    <n v="188"/>
    <x v="188"/>
    <s v="Centre-Forward"/>
    <x v="0"/>
    <x v="2"/>
    <x v="1"/>
    <n v="31.5"/>
    <x v="2"/>
    <x v="12"/>
    <s v="Paris Saint-Germain"/>
    <n v="14"/>
    <n v="3"/>
    <n v="0"/>
    <n v="0"/>
    <x v="11"/>
    <n v="0.21428571428571427"/>
    <n v="6.8027210884353739E-3"/>
    <n v="1"/>
    <n v="0"/>
    <n v="0"/>
    <n v="8"/>
    <n v="2"/>
  </r>
  <r>
    <n v="189"/>
    <x v="189"/>
    <s v="Central Midfield"/>
    <x v="1"/>
    <x v="13"/>
    <x v="3"/>
    <n v="29.7"/>
    <x v="2"/>
    <x v="6"/>
    <s v="Ajax Amsterdam"/>
    <n v="17"/>
    <n v="1"/>
    <n v="0"/>
    <n v="1"/>
    <x v="8"/>
    <n v="0.11764705882352941"/>
    <n v="3.9611804317686667E-3"/>
    <n v="2"/>
    <n v="0"/>
    <n v="0"/>
    <n v="1"/>
    <n v="6"/>
  </r>
  <r>
    <n v="190"/>
    <x v="190"/>
    <s v="Central Midfield"/>
    <x v="1"/>
    <x v="2"/>
    <x v="1"/>
    <n v="29.7"/>
    <x v="2"/>
    <x v="0"/>
    <s v="AS Roma"/>
    <n v="16"/>
    <n v="4"/>
    <n v="0"/>
    <n v="3"/>
    <x v="10"/>
    <n v="0.4375"/>
    <n v="1.4730639730639731E-2"/>
    <n v="5"/>
    <n v="0"/>
    <n v="0"/>
    <n v="1"/>
    <n v="8"/>
  </r>
  <r>
    <n v="191"/>
    <x v="191"/>
    <s v="Centre-Forward"/>
    <x v="0"/>
    <x v="5"/>
    <x v="2"/>
    <n v="29.7"/>
    <x v="2"/>
    <x v="36"/>
    <s v="Atalanta BC"/>
    <n v="14"/>
    <n v="8"/>
    <n v="0"/>
    <n v="5"/>
    <x v="9"/>
    <n v="0.9285714285714286"/>
    <n v="3.1265031265031266E-2"/>
    <n v="2"/>
    <n v="0"/>
    <n v="0"/>
    <n v="2"/>
    <n v="6"/>
  </r>
  <r>
    <n v="192"/>
    <x v="192"/>
    <s v="Right Winger"/>
    <x v="0"/>
    <x v="6"/>
    <x v="1"/>
    <n v="28.8"/>
    <x v="2"/>
    <x v="5"/>
    <s v="Leeds United"/>
    <n v="10"/>
    <n v="5"/>
    <n v="0"/>
    <n v="0"/>
    <x v="3"/>
    <n v="0.5"/>
    <n v="1.7361111111111112E-2"/>
    <n v="3"/>
    <n v="0"/>
    <n v="0"/>
    <n v="0"/>
    <n v="3"/>
  </r>
  <r>
    <n v="193"/>
    <x v="193"/>
    <s v="Right Winger"/>
    <x v="0"/>
    <x v="1"/>
    <x v="0"/>
    <n v="28.8"/>
    <x v="2"/>
    <x v="2"/>
    <s v="Chelsea FC"/>
    <n v="11"/>
    <n v="1"/>
    <n v="0"/>
    <n v="2"/>
    <x v="11"/>
    <n v="0.27272727272727271"/>
    <n v="9.4696969696969682E-3"/>
    <n v="0"/>
    <n v="0"/>
    <n v="0"/>
    <n v="2"/>
    <n v="7"/>
  </r>
  <r>
    <n v="194"/>
    <x v="194"/>
    <s v="Centre-Back"/>
    <x v="2"/>
    <x v="11"/>
    <x v="1"/>
    <n v="28.8"/>
    <x v="2"/>
    <x v="36"/>
    <s v="Tottenham Hotspur"/>
    <n v="9"/>
    <n v="0"/>
    <n v="0"/>
    <n v="0"/>
    <x v="7"/>
    <n v="0"/>
    <n v="0"/>
    <n v="2"/>
    <n v="0"/>
    <n v="0"/>
    <n v="2"/>
    <n v="0"/>
  </r>
  <r>
    <n v="195"/>
    <x v="195"/>
    <s v="Centre-Forward"/>
    <x v="0"/>
    <x v="11"/>
    <x v="1"/>
    <n v="28.8"/>
    <x v="2"/>
    <x v="2"/>
    <s v="Aston Villa"/>
    <n v="9"/>
    <n v="2"/>
    <n v="0"/>
    <n v="0"/>
    <x v="8"/>
    <n v="0.22222222222222221"/>
    <n v="7.716049382716049E-3"/>
    <n v="2"/>
    <n v="0"/>
    <n v="0"/>
    <n v="1"/>
    <n v="0"/>
  </r>
  <r>
    <n v="196"/>
    <x v="196"/>
    <s v="Central Midfield"/>
    <x v="1"/>
    <x v="3"/>
    <x v="1"/>
    <n v="28.8"/>
    <x v="2"/>
    <x v="37"/>
    <s v="Liverpool FC"/>
    <n v="10"/>
    <n v="3"/>
    <n v="0"/>
    <n v="1"/>
    <x v="5"/>
    <n v="0.4"/>
    <n v="1.388888888888889E-2"/>
    <n v="0"/>
    <n v="0"/>
    <n v="0"/>
    <n v="2"/>
    <n v="7"/>
  </r>
  <r>
    <n v="197"/>
    <x v="197"/>
    <s v="Left-Back"/>
    <x v="2"/>
    <x v="6"/>
    <x v="1"/>
    <n v="28.8"/>
    <x v="2"/>
    <x v="19"/>
    <s v="Arsenal FC"/>
    <n v="8"/>
    <n v="0"/>
    <n v="0"/>
    <n v="0"/>
    <x v="7"/>
    <n v="0"/>
    <n v="0"/>
    <n v="0"/>
    <n v="0"/>
    <n v="0"/>
    <n v="0"/>
    <n v="2"/>
  </r>
  <r>
    <n v="198"/>
    <x v="198"/>
    <s v="Centre-Forward"/>
    <x v="0"/>
    <x v="11"/>
    <x v="1"/>
    <n v="28.8"/>
    <x v="2"/>
    <x v="2"/>
    <s v="Brentford FC"/>
    <n v="12"/>
    <n v="3"/>
    <n v="0"/>
    <n v="3"/>
    <x v="6"/>
    <n v="0.5"/>
    <n v="1.7361111111111112E-2"/>
    <n v="2"/>
    <n v="0"/>
    <n v="0"/>
    <n v="0"/>
    <n v="0"/>
  </r>
  <r>
    <n v="199"/>
    <x v="199"/>
    <s v="Left Winger"/>
    <x v="0"/>
    <x v="2"/>
    <x v="1"/>
    <n v="28.8"/>
    <x v="2"/>
    <x v="28"/>
    <s v="AC Milan"/>
    <n v="11"/>
    <n v="2"/>
    <n v="0"/>
    <n v="2"/>
    <x v="5"/>
    <n v="0.36363636363636365"/>
    <n v="1.2626262626262626E-2"/>
    <n v="1"/>
    <n v="0"/>
    <n v="0"/>
    <n v="3"/>
    <n v="5"/>
  </r>
  <r>
    <n v="200"/>
    <x v="200"/>
    <s v="Central Midfield"/>
    <x v="1"/>
    <x v="7"/>
    <x v="1"/>
    <n v="28.8"/>
    <x v="2"/>
    <x v="2"/>
    <s v="Southampton FC"/>
    <n v="11"/>
    <n v="2"/>
    <n v="0"/>
    <n v="2"/>
    <x v="5"/>
    <n v="0.36363636363636365"/>
    <n v="1.2626262626262626E-2"/>
    <n v="2"/>
    <n v="0"/>
    <n v="1"/>
    <n v="1"/>
    <n v="2"/>
  </r>
  <r>
    <n v="201"/>
    <x v="201"/>
    <s v="Centre-Back"/>
    <x v="2"/>
    <x v="3"/>
    <x v="1"/>
    <n v="28.8"/>
    <x v="2"/>
    <x v="6"/>
    <s v="Manchester City"/>
    <n v="7"/>
    <n v="1"/>
    <n v="0"/>
    <n v="0"/>
    <x v="14"/>
    <n v="0.14285714285714285"/>
    <n v="4.96031746031746E-3"/>
    <n v="0"/>
    <n v="0"/>
    <n v="0"/>
    <n v="1"/>
    <n v="0"/>
  </r>
  <r>
    <n v="202"/>
    <x v="202"/>
    <s v="Centre-Back"/>
    <x v="2"/>
    <x v="7"/>
    <x v="1"/>
    <n v="28.8"/>
    <x v="2"/>
    <x v="0"/>
    <s v="West Ham United"/>
    <n v="9"/>
    <n v="1"/>
    <n v="0"/>
    <n v="0"/>
    <x v="14"/>
    <n v="0.1111111111111111"/>
    <n v="3.8580246913580245E-3"/>
    <n v="1"/>
    <n v="0"/>
    <n v="0"/>
    <n v="0"/>
    <n v="1"/>
  </r>
  <r>
    <n v="203"/>
    <x v="203"/>
    <s v="Central Midfield"/>
    <x v="1"/>
    <x v="7"/>
    <x v="1"/>
    <n v="28.8"/>
    <x v="2"/>
    <x v="24"/>
    <s v="Bayern Munich"/>
    <n v="13"/>
    <n v="0"/>
    <n v="0"/>
    <n v="0"/>
    <x v="7"/>
    <n v="0"/>
    <n v="0"/>
    <n v="1"/>
    <n v="0"/>
    <n v="0"/>
    <n v="11"/>
    <n v="2"/>
  </r>
  <r>
    <n v="204"/>
    <x v="204"/>
    <s v="Right Winger"/>
    <x v="0"/>
    <x v="13"/>
    <x v="3"/>
    <n v="27"/>
    <x v="2"/>
    <x v="11"/>
    <s v="Villarreal CF"/>
    <n v="18"/>
    <n v="5"/>
    <n v="0"/>
    <n v="5"/>
    <x v="13"/>
    <n v="0.55555555555555558"/>
    <n v="2.0576131687242798E-2"/>
    <n v="4"/>
    <n v="0"/>
    <n v="0"/>
    <n v="2"/>
    <n v="14"/>
  </r>
  <r>
    <n v="205"/>
    <x v="205"/>
    <s v="Left Winger"/>
    <x v="0"/>
    <x v="12"/>
    <x v="0"/>
    <n v="27"/>
    <x v="2"/>
    <x v="11"/>
    <s v="Tottenham Hotspur"/>
    <n v="15"/>
    <n v="0"/>
    <n v="0"/>
    <n v="3"/>
    <x v="11"/>
    <n v="0.2"/>
    <n v="7.4074074074074077E-3"/>
    <n v="3"/>
    <n v="0"/>
    <n v="0"/>
    <n v="6"/>
    <n v="5"/>
  </r>
  <r>
    <n v="206"/>
    <x v="206"/>
    <s v="Central Midfield"/>
    <x v="1"/>
    <x v="6"/>
    <x v="1"/>
    <n v="27"/>
    <x v="2"/>
    <x v="5"/>
    <s v="Olympique Lyon"/>
    <n v="16"/>
    <n v="0"/>
    <n v="0"/>
    <n v="5"/>
    <x v="3"/>
    <n v="0.3125"/>
    <n v="1.1574074074074073E-2"/>
    <n v="2"/>
    <n v="0"/>
    <n v="0"/>
    <n v="1"/>
    <n v="7"/>
  </r>
  <r>
    <n v="207"/>
    <x v="207"/>
    <s v="Centre-Forward"/>
    <x v="0"/>
    <x v="0"/>
    <x v="0"/>
    <n v="27"/>
    <x v="2"/>
    <x v="5"/>
    <s v="Atlético de Madrid"/>
    <n v="11"/>
    <n v="3"/>
    <n v="0"/>
    <n v="2"/>
    <x v="3"/>
    <n v="0.45454545454545453"/>
    <n v="1.6835016835016835E-2"/>
    <n v="2"/>
    <n v="0"/>
    <n v="0"/>
    <n v="9"/>
    <n v="1"/>
  </r>
  <r>
    <n v="208"/>
    <x v="208"/>
    <s v="Goalkeeper"/>
    <x v="3"/>
    <x v="4"/>
    <x v="1"/>
    <n v="27"/>
    <x v="2"/>
    <x v="9"/>
    <s v="Chelsea FC"/>
    <n v="15"/>
    <n v="0"/>
    <n v="0"/>
    <n v="0"/>
    <x v="7"/>
    <n v="0"/>
    <n v="0"/>
    <n v="1"/>
    <n v="0"/>
    <n v="0"/>
    <n v="0"/>
    <n v="1"/>
  </r>
  <r>
    <n v="209"/>
    <x v="209"/>
    <s v="Central Midfield"/>
    <x v="1"/>
    <x v="12"/>
    <x v="0"/>
    <n v="27"/>
    <x v="2"/>
    <x v="2"/>
    <s v="Liverpool FC"/>
    <n v="10"/>
    <n v="1"/>
    <n v="0"/>
    <n v="4"/>
    <x v="3"/>
    <n v="0.5"/>
    <n v="1.8518518518518517E-2"/>
    <n v="0"/>
    <n v="0"/>
    <n v="0"/>
    <n v="4"/>
    <n v="4"/>
  </r>
  <r>
    <n v="210"/>
    <x v="210"/>
    <s v="Right-Back"/>
    <x v="2"/>
    <x v="1"/>
    <x v="0"/>
    <n v="27"/>
    <x v="2"/>
    <x v="25"/>
    <s v="FC Barcelona"/>
    <n v="13"/>
    <n v="0"/>
    <n v="0"/>
    <n v="3"/>
    <x v="11"/>
    <n v="0.23076923076923078"/>
    <n v="8.5470085470085479E-3"/>
    <n v="1"/>
    <n v="0"/>
    <n v="0"/>
    <n v="1"/>
    <n v="6"/>
  </r>
  <r>
    <n v="211"/>
    <x v="211"/>
    <s v="Central Midfield"/>
    <x v="1"/>
    <x v="6"/>
    <x v="1"/>
    <n v="27"/>
    <x v="2"/>
    <x v="18"/>
    <s v="Juventus FC"/>
    <n v="12"/>
    <n v="0"/>
    <n v="0"/>
    <n v="3"/>
    <x v="11"/>
    <n v="0.25"/>
    <n v="9.2592592592592587E-3"/>
    <n v="1"/>
    <n v="0"/>
    <n v="0"/>
    <n v="2"/>
    <n v="8"/>
  </r>
  <r>
    <n v="212"/>
    <x v="212"/>
    <s v="Centre-Forward"/>
    <x v="0"/>
    <x v="0"/>
    <x v="0"/>
    <n v="27"/>
    <x v="2"/>
    <x v="6"/>
    <s v="Borussia Dortmund"/>
    <n v="17"/>
    <n v="1"/>
    <n v="0"/>
    <n v="2"/>
    <x v="11"/>
    <n v="0.17647058823529413"/>
    <n v="6.5359477124183009E-3"/>
    <n v="1"/>
    <n v="0"/>
    <n v="0"/>
    <n v="6"/>
    <n v="11"/>
  </r>
  <r>
    <n v="213"/>
    <x v="213"/>
    <s v="Right Winger"/>
    <x v="0"/>
    <x v="6"/>
    <x v="1"/>
    <n v="27"/>
    <x v="2"/>
    <x v="2"/>
    <s v="West Ham United"/>
    <n v="17"/>
    <n v="3"/>
    <n v="0"/>
    <n v="5"/>
    <x v="12"/>
    <n v="0.47058823529411764"/>
    <n v="1.7429193899782133E-2"/>
    <n v="1"/>
    <n v="0"/>
    <n v="0"/>
    <n v="4"/>
    <n v="10"/>
  </r>
  <r>
    <n v="214"/>
    <x v="214"/>
    <s v="Attacking Midfield"/>
    <x v="1"/>
    <x v="6"/>
    <x v="1"/>
    <n v="27"/>
    <x v="2"/>
    <x v="28"/>
    <s v="West Ham United"/>
    <n v="14"/>
    <n v="0"/>
    <n v="0"/>
    <n v="1"/>
    <x v="14"/>
    <n v="7.1428571428571425E-2"/>
    <n v="2.6455026455026454E-3"/>
    <n v="0"/>
    <n v="0"/>
    <n v="0"/>
    <n v="6"/>
    <n v="7"/>
  </r>
  <r>
    <n v="215"/>
    <x v="215"/>
    <s v="Centre-Back"/>
    <x v="2"/>
    <x v="3"/>
    <x v="1"/>
    <n v="27"/>
    <x v="2"/>
    <x v="38"/>
    <s v="Borussia Dortmund"/>
    <n v="18"/>
    <n v="0"/>
    <n v="0"/>
    <n v="0"/>
    <x v="7"/>
    <n v="0"/>
    <n v="0"/>
    <n v="2"/>
    <n v="0"/>
    <n v="0"/>
    <n v="1"/>
    <n v="0"/>
  </r>
  <r>
    <n v="216"/>
    <x v="216"/>
    <s v="Left Winger"/>
    <x v="0"/>
    <x v="6"/>
    <x v="1"/>
    <n v="27"/>
    <x v="2"/>
    <x v="0"/>
    <s v="Newcastle United"/>
    <n v="12"/>
    <n v="2"/>
    <n v="0"/>
    <n v="3"/>
    <x v="3"/>
    <n v="0.41666666666666669"/>
    <n v="1.54320987654321E-2"/>
    <n v="1"/>
    <n v="0"/>
    <n v="0"/>
    <n v="1"/>
    <n v="1"/>
  </r>
  <r>
    <n v="217"/>
    <x v="217"/>
    <s v="Central Midfield"/>
    <x v="1"/>
    <x v="7"/>
    <x v="1"/>
    <n v="27"/>
    <x v="2"/>
    <x v="11"/>
    <s v="Sevilla FC"/>
    <n v="16"/>
    <n v="0"/>
    <n v="0"/>
    <n v="1"/>
    <x v="14"/>
    <n v="6.25E-2"/>
    <n v="2.3148148148148147E-3"/>
    <n v="3"/>
    <n v="0"/>
    <n v="0"/>
    <n v="4"/>
    <n v="11"/>
  </r>
  <r>
    <n v="218"/>
    <x v="218"/>
    <s v="Central Midfield"/>
    <x v="1"/>
    <x v="6"/>
    <x v="1"/>
    <n v="27"/>
    <x v="2"/>
    <x v="7"/>
    <s v="LOSC Lille"/>
    <n v="8"/>
    <n v="0"/>
    <n v="0"/>
    <n v="1"/>
    <x v="14"/>
    <n v="0.125"/>
    <n v="4.6296296296296294E-3"/>
    <n v="2"/>
    <n v="0"/>
    <n v="0"/>
    <n v="2"/>
    <n v="4"/>
  </r>
  <r>
    <n v="219"/>
    <x v="219"/>
    <s v="Centre-Back"/>
    <x v="2"/>
    <x v="11"/>
    <x v="1"/>
    <n v="27"/>
    <x v="2"/>
    <x v="15"/>
    <s v="AS Roma"/>
    <n v="16"/>
    <n v="1"/>
    <n v="0"/>
    <n v="0"/>
    <x v="14"/>
    <n v="6.25E-2"/>
    <n v="2.3148148148148147E-3"/>
    <n v="5"/>
    <n v="0"/>
    <n v="0"/>
    <n v="0"/>
    <n v="0"/>
  </r>
  <r>
    <n v="220"/>
    <x v="220"/>
    <s v="Centre-Back"/>
    <x v="2"/>
    <x v="6"/>
    <x v="1"/>
    <n v="27"/>
    <x v="2"/>
    <x v="2"/>
    <s v="Liverpool FC"/>
    <n v="7"/>
    <n v="0"/>
    <n v="0"/>
    <n v="0"/>
    <x v="7"/>
    <n v="0"/>
    <n v="0"/>
    <n v="0"/>
    <n v="0"/>
    <n v="0"/>
    <n v="4"/>
    <n v="0"/>
  </r>
  <r>
    <n v="221"/>
    <x v="221"/>
    <s v="Centre-Back"/>
    <x v="2"/>
    <x v="2"/>
    <x v="1"/>
    <n v="27"/>
    <x v="2"/>
    <x v="2"/>
    <s v="Aston Villa"/>
    <n v="10"/>
    <n v="0"/>
    <n v="0"/>
    <n v="1"/>
    <x v="14"/>
    <n v="0.1"/>
    <n v="3.7037037037037038E-3"/>
    <n v="4"/>
    <n v="0"/>
    <n v="0"/>
    <n v="1"/>
    <n v="0"/>
  </r>
  <r>
    <n v="222"/>
    <x v="222"/>
    <s v="Centre-Forward"/>
    <x v="0"/>
    <x v="4"/>
    <x v="1"/>
    <n v="27"/>
    <x v="2"/>
    <x v="6"/>
    <s v="VfL Wolfsburg"/>
    <n v="13"/>
    <n v="4"/>
    <n v="0"/>
    <n v="1"/>
    <x v="3"/>
    <n v="0.38461538461538464"/>
    <n v="1.4245014245014245E-2"/>
    <n v="4"/>
    <n v="0"/>
    <n v="0"/>
    <n v="1"/>
    <n v="3"/>
  </r>
  <r>
    <n v="223"/>
    <x v="223"/>
    <s v="Second Striker"/>
    <x v="0"/>
    <x v="7"/>
    <x v="1"/>
    <n v="27"/>
    <x v="2"/>
    <x v="12"/>
    <s v="Inter Milan"/>
    <n v="11"/>
    <n v="4"/>
    <n v="0"/>
    <n v="0"/>
    <x v="5"/>
    <n v="0.36363636363636365"/>
    <n v="1.3468013468013469E-2"/>
    <n v="2"/>
    <n v="0"/>
    <n v="0"/>
    <n v="8"/>
    <n v="3"/>
  </r>
  <r>
    <n v="224"/>
    <x v="224"/>
    <s v="Right-Back"/>
    <x v="2"/>
    <x v="2"/>
    <x v="1"/>
    <n v="27"/>
    <x v="2"/>
    <x v="7"/>
    <s v="Leicester City"/>
    <n v="11"/>
    <n v="0"/>
    <n v="0"/>
    <n v="2"/>
    <x v="8"/>
    <n v="0.18181818181818182"/>
    <n v="6.7340067340067346E-3"/>
    <n v="2"/>
    <n v="0"/>
    <n v="0"/>
    <n v="1"/>
    <n v="3"/>
  </r>
  <r>
    <n v="225"/>
    <x v="225"/>
    <s v="Attacking Midfield"/>
    <x v="1"/>
    <x v="11"/>
    <x v="1"/>
    <n v="27"/>
    <x v="2"/>
    <x v="2"/>
    <s v="Tottenham Hotspur"/>
    <n v="12"/>
    <n v="2"/>
    <n v="0"/>
    <n v="1"/>
    <x v="11"/>
    <n v="0.25"/>
    <n v="9.2592592592592587E-3"/>
    <n v="1"/>
    <n v="0"/>
    <n v="0"/>
    <n v="3"/>
    <n v="3"/>
  </r>
  <r>
    <n v="226"/>
    <x v="226"/>
    <s v="Attacking Midfield"/>
    <x v="1"/>
    <x v="2"/>
    <x v="1"/>
    <n v="27"/>
    <x v="2"/>
    <x v="39"/>
    <s v="Atalanta BC"/>
    <n v="16"/>
    <n v="2"/>
    <n v="0"/>
    <n v="1"/>
    <x v="11"/>
    <n v="0.1875"/>
    <n v="6.9444444444444441E-3"/>
    <n v="3"/>
    <n v="0"/>
    <n v="0"/>
    <n v="4"/>
    <n v="12"/>
  </r>
  <r>
    <n v="227"/>
    <x v="227"/>
    <s v="Right Winger"/>
    <x v="0"/>
    <x v="11"/>
    <x v="1"/>
    <n v="27"/>
    <x v="2"/>
    <x v="11"/>
    <s v="Wolverhampton Wanderers"/>
    <n v="12"/>
    <n v="0"/>
    <n v="0"/>
    <n v="0"/>
    <x v="7"/>
    <n v="0"/>
    <n v="0"/>
    <n v="0"/>
    <n v="0"/>
    <n v="0"/>
    <n v="5"/>
    <n v="3"/>
  </r>
  <r>
    <n v="228"/>
    <x v="228"/>
    <s v="Central Midfield"/>
    <x v="1"/>
    <x v="7"/>
    <x v="1"/>
    <n v="27"/>
    <x v="2"/>
    <x v="19"/>
    <s v="Aston Villa"/>
    <n v="10"/>
    <n v="2"/>
    <n v="0"/>
    <n v="1"/>
    <x v="11"/>
    <n v="0.3"/>
    <n v="1.1111111111111112E-2"/>
    <n v="4"/>
    <n v="0"/>
    <n v="0"/>
    <n v="0"/>
    <n v="1"/>
  </r>
  <r>
    <n v="229"/>
    <x v="229"/>
    <s v="Left Winger"/>
    <x v="0"/>
    <x v="7"/>
    <x v="1"/>
    <n v="27"/>
    <x v="2"/>
    <x v="12"/>
    <s v="Sevilla FC"/>
    <n v="13"/>
    <n v="2"/>
    <n v="0"/>
    <n v="1"/>
    <x v="11"/>
    <n v="0.23076923076923078"/>
    <n v="8.5470085470085479E-3"/>
    <n v="2"/>
    <n v="0"/>
    <n v="0"/>
    <n v="5"/>
    <n v="5"/>
  </r>
  <r>
    <n v="230"/>
    <x v="230"/>
    <s v="Centre-Back"/>
    <x v="2"/>
    <x v="7"/>
    <x v="1"/>
    <n v="27"/>
    <x v="2"/>
    <x v="2"/>
    <s v="Manchester City"/>
    <n v="5"/>
    <n v="0"/>
    <n v="1"/>
    <n v="0"/>
    <x v="7"/>
    <n v="0"/>
    <n v="0"/>
    <n v="0"/>
    <n v="0"/>
    <n v="0"/>
    <n v="1"/>
    <n v="0"/>
  </r>
  <r>
    <n v="231"/>
    <x v="231"/>
    <s v="Central Midfield"/>
    <x v="1"/>
    <x v="3"/>
    <x v="1"/>
    <n v="27"/>
    <x v="2"/>
    <x v="0"/>
    <s v="Juventus FC"/>
    <n v="11"/>
    <n v="0"/>
    <n v="0"/>
    <n v="1"/>
    <x v="14"/>
    <n v="9.0909090909090912E-2"/>
    <n v="3.3670033670033673E-3"/>
    <n v="0"/>
    <n v="0"/>
    <n v="0"/>
    <n v="1"/>
    <n v="6"/>
  </r>
  <r>
    <n v="232"/>
    <x v="232"/>
    <s v="Defensive Midfield"/>
    <x v="1"/>
    <x v="3"/>
    <x v="1"/>
    <n v="27"/>
    <x v="2"/>
    <x v="4"/>
    <s v="Wolverhampton Wanderers"/>
    <n v="9"/>
    <n v="1"/>
    <n v="0"/>
    <n v="3"/>
    <x v="5"/>
    <n v="0.44444444444444442"/>
    <n v="1.6460905349794237E-2"/>
    <n v="1"/>
    <n v="0"/>
    <n v="0"/>
    <n v="4"/>
    <n v="0"/>
  </r>
  <r>
    <n v="233"/>
    <x v="233"/>
    <s v="Right Winger"/>
    <x v="0"/>
    <x v="2"/>
    <x v="1"/>
    <n v="27"/>
    <x v="2"/>
    <x v="15"/>
    <s v="SSC Napoli"/>
    <n v="16"/>
    <n v="2"/>
    <n v="0"/>
    <n v="4"/>
    <x v="6"/>
    <n v="0.375"/>
    <n v="1.3888888888888888E-2"/>
    <n v="1"/>
    <n v="0"/>
    <n v="0"/>
    <n v="6"/>
    <n v="10"/>
  </r>
  <r>
    <n v="234"/>
    <x v="234"/>
    <s v="Central Midfield"/>
    <x v="1"/>
    <x v="7"/>
    <x v="1"/>
    <n v="27"/>
    <x v="2"/>
    <x v="26"/>
    <s v="Inter Milan"/>
    <n v="12"/>
    <n v="2"/>
    <n v="0"/>
    <n v="3"/>
    <x v="3"/>
    <n v="0.41666666666666669"/>
    <n v="1.54320987654321E-2"/>
    <n v="2"/>
    <n v="0"/>
    <n v="0"/>
    <n v="2"/>
    <n v="9"/>
  </r>
  <r>
    <n v="235"/>
    <x v="235"/>
    <s v="Right Midfield"/>
    <x v="1"/>
    <x v="2"/>
    <x v="1"/>
    <n v="27"/>
    <x v="2"/>
    <x v="27"/>
    <s v="FC Porto"/>
    <n v="10"/>
    <n v="0"/>
    <n v="0"/>
    <n v="2"/>
    <x v="8"/>
    <n v="0.2"/>
    <n v="7.4074074074074077E-3"/>
    <n v="1"/>
    <n v="0"/>
    <n v="0"/>
    <n v="4"/>
    <n v="3"/>
  </r>
  <r>
    <n v="236"/>
    <x v="236"/>
    <s v="Centre-Forward"/>
    <x v="0"/>
    <x v="5"/>
    <x v="2"/>
    <n v="27"/>
    <x v="2"/>
    <x v="36"/>
    <s v="Atalanta BC"/>
    <n v="9"/>
    <n v="1"/>
    <n v="0"/>
    <n v="1"/>
    <x v="8"/>
    <n v="0.22222222222222221"/>
    <n v="8.2304526748971183E-3"/>
    <n v="0"/>
    <n v="0"/>
    <n v="0"/>
    <n v="5"/>
    <n v="4"/>
  </r>
  <r>
    <n v="237"/>
    <x v="237"/>
    <s v="Centre-Forward"/>
    <x v="0"/>
    <x v="4"/>
    <x v="1"/>
    <n v="27"/>
    <x v="2"/>
    <x v="8"/>
    <s v="AS Monaco"/>
    <n v="20"/>
    <n v="4"/>
    <n v="0"/>
    <n v="4"/>
    <x v="12"/>
    <n v="0.4"/>
    <n v="1.4814814814814815E-2"/>
    <n v="5"/>
    <n v="0"/>
    <n v="0"/>
    <n v="4"/>
    <n v="9"/>
  </r>
  <r>
    <n v="238"/>
    <x v="238"/>
    <s v="Second Striker"/>
    <x v="0"/>
    <x v="17"/>
    <x v="2"/>
    <n v="27"/>
    <x v="2"/>
    <x v="8"/>
    <s v="Bayern Munich"/>
    <n v="18"/>
    <n v="6"/>
    <n v="0"/>
    <n v="12"/>
    <x v="0"/>
    <n v="1"/>
    <n v="3.7037037037037035E-2"/>
    <n v="0"/>
    <n v="0"/>
    <n v="0"/>
    <n v="1"/>
    <n v="11"/>
  </r>
  <r>
    <n v="239"/>
    <x v="239"/>
    <s v="Central Midfield"/>
    <x v="1"/>
    <x v="16"/>
    <x v="2"/>
    <n v="27"/>
    <x v="2"/>
    <x v="6"/>
    <s v="Paris Saint-Germain"/>
    <n v="17"/>
    <n v="2"/>
    <n v="0"/>
    <n v="1"/>
    <x v="11"/>
    <n v="0.17647058823529413"/>
    <n v="6.5359477124183009E-3"/>
    <n v="0"/>
    <n v="0"/>
    <n v="0"/>
    <n v="8"/>
    <n v="6"/>
  </r>
  <r>
    <n v="240"/>
    <x v="240"/>
    <s v="Central Midfield"/>
    <x v="1"/>
    <x v="16"/>
    <x v="2"/>
    <n v="27"/>
    <x v="2"/>
    <x v="8"/>
    <s v="Real Madrid"/>
    <n v="8"/>
    <n v="1"/>
    <n v="0"/>
    <n v="0"/>
    <x v="14"/>
    <n v="0.125"/>
    <n v="4.6296296296296294E-3"/>
    <n v="1"/>
    <n v="0"/>
    <n v="0"/>
    <n v="1"/>
    <n v="2"/>
  </r>
  <r>
    <n v="241"/>
    <x v="241"/>
    <s v="Centre-Back"/>
    <x v="2"/>
    <x v="12"/>
    <x v="0"/>
    <n v="25.2"/>
    <x v="2"/>
    <x v="0"/>
    <s v="AS Monaco"/>
    <n v="22"/>
    <n v="0"/>
    <n v="0"/>
    <n v="0"/>
    <x v="7"/>
    <n v="0"/>
    <n v="0"/>
    <n v="6"/>
    <n v="0"/>
    <n v="0"/>
    <n v="2"/>
    <n v="2"/>
  </r>
  <r>
    <n v="242"/>
    <x v="242"/>
    <s v="Centre-Back"/>
    <x v="2"/>
    <x v="1"/>
    <x v="0"/>
    <n v="25.2"/>
    <x v="2"/>
    <x v="0"/>
    <s v="VfL Wolfsburg"/>
    <n v="14"/>
    <n v="0"/>
    <n v="0"/>
    <n v="0"/>
    <x v="7"/>
    <n v="0"/>
    <n v="0"/>
    <n v="3"/>
    <n v="1"/>
    <n v="1"/>
    <n v="0"/>
    <n v="2"/>
  </r>
  <r>
    <n v="243"/>
    <x v="243"/>
    <s v="Defensive Midfield"/>
    <x v="1"/>
    <x v="1"/>
    <x v="0"/>
    <n v="25.2"/>
    <x v="2"/>
    <x v="0"/>
    <s v="Olympique Marseille"/>
    <n v="14"/>
    <n v="1"/>
    <n v="0"/>
    <n v="0"/>
    <x v="14"/>
    <n v="7.1428571428571425E-2"/>
    <n v="2.8344671201814059E-3"/>
    <n v="4"/>
    <n v="0"/>
    <n v="0"/>
    <n v="3"/>
    <n v="3"/>
  </r>
  <r>
    <n v="244"/>
    <x v="244"/>
    <s v="Attacking Midfield"/>
    <x v="1"/>
    <x v="1"/>
    <x v="0"/>
    <n v="25.2"/>
    <x v="2"/>
    <x v="2"/>
    <s v="Arsenal FC"/>
    <n v="15"/>
    <n v="6"/>
    <n v="0"/>
    <n v="2"/>
    <x v="12"/>
    <n v="0.53333333333333333"/>
    <n v="2.1164021164021163E-2"/>
    <n v="0"/>
    <n v="0"/>
    <n v="0"/>
    <n v="2"/>
    <n v="6"/>
  </r>
  <r>
    <n v="245"/>
    <x v="245"/>
    <s v="Centre-Back"/>
    <x v="2"/>
    <x v="0"/>
    <x v="0"/>
    <n v="25.2"/>
    <x v="2"/>
    <x v="0"/>
    <s v="Eintracht Frankfurt"/>
    <n v="13"/>
    <n v="0"/>
    <n v="0"/>
    <n v="1"/>
    <x v="14"/>
    <n v="7.6923076923076927E-2"/>
    <n v="3.0525030525030529E-3"/>
    <n v="2"/>
    <n v="0"/>
    <n v="0"/>
    <n v="1"/>
    <n v="0"/>
  </r>
  <r>
    <n v="246"/>
    <x v="246"/>
    <s v="Centre-Back"/>
    <x v="2"/>
    <x v="1"/>
    <x v="0"/>
    <n v="25.2"/>
    <x v="2"/>
    <x v="6"/>
    <s v="LOSC Lille"/>
    <n v="15"/>
    <n v="2"/>
    <n v="0"/>
    <n v="0"/>
    <x v="8"/>
    <n v="0.13333333333333333"/>
    <n v="5.2910052910052907E-3"/>
    <n v="2"/>
    <n v="0"/>
    <n v="0"/>
    <n v="0"/>
    <n v="1"/>
  </r>
  <r>
    <n v="247"/>
    <x v="247"/>
    <s v="Defensive Midfield"/>
    <x v="1"/>
    <x v="0"/>
    <x v="0"/>
    <n v="25.2"/>
    <x v="2"/>
    <x v="0"/>
    <s v="Leicester City"/>
    <n v="15"/>
    <n v="0"/>
    <n v="0"/>
    <n v="1"/>
    <x v="14"/>
    <n v="6.6666666666666666E-2"/>
    <n v="2.6455026455026454E-3"/>
    <n v="2"/>
    <n v="0"/>
    <n v="0"/>
    <n v="5"/>
    <n v="4"/>
  </r>
  <r>
    <n v="248"/>
    <x v="248"/>
    <s v="Centre-Back"/>
    <x v="2"/>
    <x v="10"/>
    <x v="0"/>
    <n v="25.2"/>
    <x v="2"/>
    <x v="26"/>
    <s v="Atalanta BC"/>
    <n v="12"/>
    <n v="1"/>
    <n v="0"/>
    <n v="1"/>
    <x v="8"/>
    <n v="0.16666666666666666"/>
    <n v="6.6137566137566134E-3"/>
    <n v="3"/>
    <n v="0"/>
    <n v="0"/>
    <n v="1"/>
    <n v="4"/>
  </r>
  <r>
    <n v="249"/>
    <x v="249"/>
    <s v="Left Winger"/>
    <x v="0"/>
    <x v="6"/>
    <x v="1"/>
    <n v="25.2"/>
    <x v="2"/>
    <x v="0"/>
    <s v="Borussia Mönchengladbach"/>
    <n v="5"/>
    <n v="0"/>
    <n v="0"/>
    <n v="0"/>
    <x v="7"/>
    <n v="0"/>
    <n v="0"/>
    <n v="0"/>
    <n v="0"/>
    <n v="0"/>
    <n v="4"/>
    <n v="1"/>
  </r>
  <r>
    <n v="250"/>
    <x v="250"/>
    <s v="Central Midfield"/>
    <x v="1"/>
    <x v="6"/>
    <x v="1"/>
    <n v="25.2"/>
    <x v="2"/>
    <x v="8"/>
    <s v="Borussia Mönchengladbach"/>
    <n v="11"/>
    <n v="1"/>
    <n v="0"/>
    <n v="0"/>
    <x v="14"/>
    <n v="9.0909090909090912E-2"/>
    <n v="3.6075036075036075E-3"/>
    <n v="1"/>
    <n v="0"/>
    <n v="0"/>
    <n v="5"/>
    <n v="4"/>
  </r>
  <r>
    <n v="251"/>
    <x v="251"/>
    <s v="Attacking Midfield"/>
    <x v="1"/>
    <x v="11"/>
    <x v="1"/>
    <n v="25.2"/>
    <x v="2"/>
    <x v="40"/>
    <s v="AS Monaco"/>
    <n v="16"/>
    <n v="3"/>
    <n v="0"/>
    <n v="3"/>
    <x v="6"/>
    <n v="0.375"/>
    <n v="1.4880952380952382E-2"/>
    <n v="2"/>
    <n v="0"/>
    <n v="1"/>
    <n v="7"/>
    <n v="8"/>
  </r>
  <r>
    <n v="252"/>
    <x v="252"/>
    <s v="Right-Back"/>
    <x v="2"/>
    <x v="11"/>
    <x v="1"/>
    <n v="25.2"/>
    <x v="2"/>
    <x v="4"/>
    <s v="Leicester City"/>
    <n v="12"/>
    <n v="0"/>
    <n v="0"/>
    <n v="0"/>
    <x v="7"/>
    <n v="0"/>
    <n v="0"/>
    <n v="0"/>
    <n v="0"/>
    <n v="0"/>
    <n v="3"/>
    <n v="0"/>
  </r>
  <r>
    <n v="253"/>
    <x v="253"/>
    <s v="Centre-Forward"/>
    <x v="0"/>
    <x v="11"/>
    <x v="1"/>
    <n v="25.2"/>
    <x v="2"/>
    <x v="29"/>
    <s v="Bayer 04 Leverkusen"/>
    <n v="13"/>
    <n v="8"/>
    <n v="0"/>
    <n v="2"/>
    <x v="13"/>
    <n v="0.76923076923076927"/>
    <n v="3.0525030525030528E-2"/>
    <n v="0"/>
    <n v="0"/>
    <n v="0"/>
    <n v="3"/>
    <n v="9"/>
  </r>
  <r>
    <n v="254"/>
    <x v="254"/>
    <s v="Right-Back"/>
    <x v="2"/>
    <x v="2"/>
    <x v="1"/>
    <n v="25.2"/>
    <x v="2"/>
    <x v="7"/>
    <s v="Wolverhampton Wanderers"/>
    <n v="14"/>
    <n v="0"/>
    <n v="0"/>
    <n v="0"/>
    <x v="7"/>
    <n v="0"/>
    <n v="0"/>
    <n v="0"/>
    <n v="0"/>
    <n v="0"/>
    <n v="2"/>
    <n v="4"/>
  </r>
  <r>
    <n v="255"/>
    <x v="255"/>
    <s v="Centre-Forward"/>
    <x v="0"/>
    <x v="5"/>
    <x v="2"/>
    <n v="25.2"/>
    <x v="2"/>
    <x v="27"/>
    <s v="Wolverhampton Wanderers"/>
    <n v="11"/>
    <n v="2"/>
    <n v="0"/>
    <n v="2"/>
    <x v="5"/>
    <n v="0.36363636363636365"/>
    <n v="1.443001443001443E-2"/>
    <n v="1"/>
    <n v="0"/>
    <n v="0"/>
    <n v="1"/>
    <n v="1"/>
  </r>
  <r>
    <n v="256"/>
    <x v="256"/>
    <s v="Left-Back"/>
    <x v="2"/>
    <x v="6"/>
    <x v="1"/>
    <n v="25.2"/>
    <x v="2"/>
    <x v="39"/>
    <s v="Manchester City"/>
    <n v="7"/>
    <n v="0"/>
    <n v="0"/>
    <n v="0"/>
    <x v="7"/>
    <n v="0"/>
    <n v="0"/>
    <n v="2"/>
    <n v="0"/>
    <n v="0"/>
    <n v="3"/>
    <n v="0"/>
  </r>
  <r>
    <n v="257"/>
    <x v="257"/>
    <s v="Right-Back"/>
    <x v="2"/>
    <x v="16"/>
    <x v="2"/>
    <n v="25.2"/>
    <x v="2"/>
    <x v="2"/>
    <s v="Manchester City"/>
    <n v="13"/>
    <n v="1"/>
    <n v="0"/>
    <n v="0"/>
    <x v="14"/>
    <n v="7.6923076923076927E-2"/>
    <n v="3.0525030525030529E-3"/>
    <n v="1"/>
    <n v="0"/>
    <n v="0"/>
    <n v="0"/>
    <n v="3"/>
  </r>
  <r>
    <n v="258"/>
    <x v="258"/>
    <s v="Right Winger"/>
    <x v="0"/>
    <x v="10"/>
    <x v="0"/>
    <n v="24.3"/>
    <x v="2"/>
    <x v="9"/>
    <s v="Watford FC"/>
    <n v="11"/>
    <n v="4"/>
    <n v="0"/>
    <n v="0"/>
    <x v="5"/>
    <n v="0.36363636363636365"/>
    <n v="1.4964459408903853E-2"/>
    <n v="1"/>
    <n v="0"/>
    <n v="0"/>
    <n v="0"/>
    <n v="1"/>
  </r>
  <r>
    <n v="259"/>
    <x v="259"/>
    <s v="Defensive Midfield"/>
    <x v="1"/>
    <x v="1"/>
    <x v="0"/>
    <n v="24.3"/>
    <x v="2"/>
    <x v="15"/>
    <s v="AC Milan"/>
    <n v="20"/>
    <n v="2"/>
    <n v="0"/>
    <n v="7"/>
    <x v="2"/>
    <n v="0.45"/>
    <n v="1.8518518518518517E-2"/>
    <n v="3"/>
    <n v="0"/>
    <n v="0"/>
    <n v="4"/>
    <n v="7"/>
  </r>
  <r>
    <n v="260"/>
    <x v="260"/>
    <s v="Defensive Midfield"/>
    <x v="1"/>
    <x v="6"/>
    <x v="1"/>
    <n v="24.3"/>
    <x v="2"/>
    <x v="38"/>
    <s v="Borussia Mönchengladbach"/>
    <n v="11"/>
    <n v="2"/>
    <n v="0"/>
    <n v="1"/>
    <x v="11"/>
    <n v="0.27272727272727271"/>
    <n v="1.1223344556677889E-2"/>
    <n v="4"/>
    <n v="0"/>
    <n v="0"/>
    <n v="1"/>
    <n v="0"/>
  </r>
  <r>
    <n v="261"/>
    <x v="261"/>
    <s v="Central Midfield"/>
    <x v="1"/>
    <x v="6"/>
    <x v="1"/>
    <n v="24.3"/>
    <x v="2"/>
    <x v="24"/>
    <s v="VfL Wolfsburg"/>
    <n v="4"/>
    <n v="0"/>
    <n v="0"/>
    <n v="1"/>
    <x v="14"/>
    <n v="0.25"/>
    <n v="1.0288065843621399E-2"/>
    <n v="1"/>
    <n v="0"/>
    <n v="0"/>
    <n v="0"/>
    <n v="3"/>
  </r>
  <r>
    <n v="262"/>
    <x v="262"/>
    <s v="Right-Back"/>
    <x v="2"/>
    <x v="11"/>
    <x v="1"/>
    <n v="24.3"/>
    <x v="2"/>
    <x v="8"/>
    <s v="RB Leipzig"/>
    <n v="10"/>
    <n v="0"/>
    <n v="0"/>
    <n v="1"/>
    <x v="14"/>
    <n v="0.1"/>
    <n v="4.11522633744856E-3"/>
    <n v="2"/>
    <n v="0"/>
    <n v="0"/>
    <n v="1"/>
    <n v="1"/>
  </r>
  <r>
    <n v="263"/>
    <x v="263"/>
    <s v="Centre-Forward"/>
    <x v="0"/>
    <x v="7"/>
    <x v="1"/>
    <n v="24.3"/>
    <x v="2"/>
    <x v="23"/>
    <s v="Ajax Amsterdam"/>
    <n v="17"/>
    <n v="14"/>
    <n v="0"/>
    <n v="5"/>
    <x v="21"/>
    <n v="1.1176470588235294"/>
    <n v="4.5993706124425077E-2"/>
    <n v="2"/>
    <n v="0"/>
    <n v="0"/>
    <n v="0"/>
    <n v="7"/>
  </r>
  <r>
    <n v="264"/>
    <x v="264"/>
    <s v="Centre-Back"/>
    <x v="2"/>
    <x v="7"/>
    <x v="1"/>
    <n v="24.3"/>
    <x v="2"/>
    <x v="8"/>
    <s v="Borussia Mönchengladbach"/>
    <n v="11"/>
    <n v="0"/>
    <n v="0"/>
    <n v="0"/>
    <x v="7"/>
    <n v="0"/>
    <n v="0"/>
    <n v="0"/>
    <n v="0"/>
    <n v="0"/>
    <n v="0"/>
    <n v="1"/>
  </r>
  <r>
    <n v="265"/>
    <x v="265"/>
    <s v="Left Winger"/>
    <x v="0"/>
    <x v="2"/>
    <x v="1"/>
    <n v="24.3"/>
    <x v="2"/>
    <x v="4"/>
    <s v="Borussia Dortmund"/>
    <n v="13"/>
    <n v="4"/>
    <n v="0"/>
    <n v="0"/>
    <x v="5"/>
    <n v="0.30769230769230771"/>
    <n v="1.2662234884457106E-2"/>
    <n v="0"/>
    <n v="0"/>
    <n v="0"/>
    <n v="7"/>
    <n v="4"/>
  </r>
  <r>
    <n v="266"/>
    <x v="266"/>
    <s v="Right Winger"/>
    <x v="0"/>
    <x v="13"/>
    <x v="3"/>
    <n v="23.4"/>
    <x v="2"/>
    <x v="4"/>
    <s v="Stade Rennais FC"/>
    <n v="4"/>
    <n v="0"/>
    <n v="0"/>
    <n v="0"/>
    <x v="7"/>
    <n v="0"/>
    <n v="0"/>
    <n v="0"/>
    <n v="0"/>
    <n v="0"/>
    <n v="1"/>
    <n v="3"/>
  </r>
  <r>
    <n v="267"/>
    <x v="267"/>
    <s v="Centre-Forward"/>
    <x v="0"/>
    <x v="11"/>
    <x v="1"/>
    <n v="23.4"/>
    <x v="2"/>
    <x v="5"/>
    <s v="Clube de Regatas do Flamengo"/>
    <n v="0"/>
    <n v="0"/>
    <n v="0"/>
    <n v="0"/>
    <x v="7"/>
    <n v="0"/>
    <n v="0"/>
    <n v="0"/>
    <n v="0"/>
    <n v="0"/>
    <n v="0"/>
    <n v="0"/>
  </r>
  <r>
    <n v="268"/>
    <x v="268"/>
    <s v="Central Midfield"/>
    <x v="1"/>
    <x v="6"/>
    <x v="1"/>
    <n v="23.4"/>
    <x v="2"/>
    <x v="24"/>
    <s v="RB Leipzig"/>
    <n v="13"/>
    <n v="1"/>
    <n v="0"/>
    <n v="0"/>
    <x v="14"/>
    <n v="7.6923076923076927E-2"/>
    <n v="3.2873109796186725E-3"/>
    <n v="0"/>
    <n v="0"/>
    <n v="0"/>
    <n v="8"/>
    <n v="4"/>
  </r>
  <r>
    <n v="269"/>
    <x v="269"/>
    <s v="Defensive Midfield"/>
    <x v="1"/>
    <x v="7"/>
    <x v="1"/>
    <n v="23.4"/>
    <x v="2"/>
    <x v="8"/>
    <s v="Borussia Dortmund"/>
    <n v="6"/>
    <n v="1"/>
    <n v="0"/>
    <n v="0"/>
    <x v="14"/>
    <n v="0.16666666666666666"/>
    <n v="7.1225071225071226E-3"/>
    <n v="0"/>
    <n v="0"/>
    <n v="0"/>
    <n v="3"/>
    <n v="2"/>
  </r>
  <r>
    <n v="270"/>
    <x v="270"/>
    <s v="Left-Back"/>
    <x v="2"/>
    <x v="2"/>
    <x v="1"/>
    <n v="23.4"/>
    <x v="2"/>
    <x v="15"/>
    <s v="AS Roma"/>
    <n v="0"/>
    <n v="0"/>
    <n v="0"/>
    <n v="0"/>
    <x v="7"/>
    <n v="0"/>
    <n v="0"/>
    <n v="0"/>
    <n v="0"/>
    <n v="0"/>
    <n v="0"/>
    <n v="0"/>
  </r>
  <r>
    <n v="271"/>
    <x v="271"/>
    <s v="Central Midfield"/>
    <x v="1"/>
    <x v="18"/>
    <x v="3"/>
    <n v="22.5"/>
    <x v="2"/>
    <x v="11"/>
    <s v="FC Barcelona"/>
    <n v="18"/>
    <n v="0"/>
    <n v="0"/>
    <n v="1"/>
    <x v="14"/>
    <n v="5.5555555555555552E-2"/>
    <n v="2.4691358024691358E-3"/>
    <n v="6"/>
    <n v="0"/>
    <n v="1"/>
    <n v="6"/>
    <n v="11"/>
  </r>
  <r>
    <n v="272"/>
    <x v="272"/>
    <s v="Central Midfield"/>
    <x v="1"/>
    <x v="8"/>
    <x v="3"/>
    <n v="22.5"/>
    <x v="2"/>
    <x v="37"/>
    <s v="RB Leipzig"/>
    <n v="3"/>
    <n v="0"/>
    <n v="0"/>
    <n v="0"/>
    <x v="7"/>
    <n v="0"/>
    <n v="0"/>
    <n v="0"/>
    <n v="0"/>
    <n v="0"/>
    <n v="3"/>
    <n v="0"/>
  </r>
  <r>
    <n v="273"/>
    <x v="273"/>
    <s v="Right Midfield"/>
    <x v="1"/>
    <x v="10"/>
    <x v="0"/>
    <n v="22.5"/>
    <x v="2"/>
    <x v="41"/>
    <s v="VfB Stuttgart"/>
    <n v="0"/>
    <n v="0"/>
    <n v="0"/>
    <n v="0"/>
    <x v="7"/>
    <n v="0"/>
    <n v="0"/>
    <n v="0"/>
    <n v="0"/>
    <n v="0"/>
    <n v="0"/>
    <n v="0"/>
  </r>
  <r>
    <n v="274"/>
    <x v="274"/>
    <s v="Right Winger"/>
    <x v="0"/>
    <x v="1"/>
    <x v="0"/>
    <n v="22.5"/>
    <x v="2"/>
    <x v="5"/>
    <s v="Ajax Amsterdam"/>
    <n v="14"/>
    <n v="4"/>
    <n v="0"/>
    <n v="6"/>
    <x v="13"/>
    <n v="0.7142857142857143"/>
    <n v="3.1746031746031744E-2"/>
    <n v="1"/>
    <n v="0"/>
    <n v="0"/>
    <n v="2"/>
    <n v="9"/>
  </r>
  <r>
    <n v="275"/>
    <x v="275"/>
    <s v="Centre-Back"/>
    <x v="2"/>
    <x v="0"/>
    <x v="0"/>
    <n v="22.5"/>
    <x v="2"/>
    <x v="5"/>
    <s v="AS Roma"/>
    <n v="18"/>
    <n v="3"/>
    <n v="0"/>
    <n v="0"/>
    <x v="11"/>
    <n v="0.16666666666666666"/>
    <n v="7.4074074074074068E-3"/>
    <n v="2"/>
    <n v="0"/>
    <n v="0"/>
    <n v="2"/>
    <n v="0"/>
  </r>
  <r>
    <n v="276"/>
    <x v="276"/>
    <s v="Centre-Forward"/>
    <x v="0"/>
    <x v="13"/>
    <x v="3"/>
    <n v="22.5"/>
    <x v="2"/>
    <x v="7"/>
    <s v="Wolverhampton Wanderers"/>
    <n v="16"/>
    <n v="3"/>
    <n v="0"/>
    <n v="5"/>
    <x v="12"/>
    <n v="0.5"/>
    <n v="2.2222222222222223E-2"/>
    <n v="3"/>
    <n v="0"/>
    <n v="0"/>
    <n v="7"/>
    <n v="8"/>
  </r>
  <r>
    <n v="277"/>
    <x v="277"/>
    <s v="Centre-Back"/>
    <x v="2"/>
    <x v="10"/>
    <x v="0"/>
    <n v="22.5"/>
    <x v="2"/>
    <x v="12"/>
    <s v="Ajax Amsterdam"/>
    <n v="16"/>
    <n v="0"/>
    <n v="0"/>
    <n v="3"/>
    <x v="11"/>
    <n v="0.1875"/>
    <n v="8.3333333333333332E-3"/>
    <n v="3"/>
    <n v="0"/>
    <n v="0"/>
    <n v="1"/>
    <n v="4"/>
  </r>
  <r>
    <n v="278"/>
    <x v="278"/>
    <s v="Left Midfield"/>
    <x v="1"/>
    <x v="6"/>
    <x v="1"/>
    <n v="22.5"/>
    <x v="2"/>
    <x v="36"/>
    <s v="FC Porto"/>
    <n v="16"/>
    <n v="11"/>
    <n v="0"/>
    <n v="2"/>
    <x v="9"/>
    <n v="0.8125"/>
    <n v="3.6111111111111108E-2"/>
    <n v="3"/>
    <n v="0"/>
    <n v="0"/>
    <n v="1"/>
    <n v="11"/>
  </r>
  <r>
    <n v="279"/>
    <x v="279"/>
    <s v="Centre-Back"/>
    <x v="2"/>
    <x v="0"/>
    <x v="0"/>
    <n v="22.5"/>
    <x v="2"/>
    <x v="18"/>
    <s v="FC Barcelona"/>
    <n v="11"/>
    <n v="1"/>
    <n v="0"/>
    <n v="0"/>
    <x v="14"/>
    <n v="9.0909090909090912E-2"/>
    <n v="4.0404040404040404E-3"/>
    <n v="2"/>
    <n v="0"/>
    <n v="0"/>
    <n v="5"/>
    <n v="0"/>
  </r>
  <r>
    <n v="280"/>
    <x v="280"/>
    <s v="Left-Back"/>
    <x v="2"/>
    <x v="10"/>
    <x v="0"/>
    <n v="22.5"/>
    <x v="2"/>
    <x v="5"/>
    <s v="Atlético de Madrid"/>
    <n v="15"/>
    <n v="0"/>
    <n v="0"/>
    <n v="1"/>
    <x v="14"/>
    <n v="6.6666666666666666E-2"/>
    <n v="2.9629629629629628E-3"/>
    <n v="0"/>
    <n v="0"/>
    <n v="0"/>
    <n v="12"/>
    <n v="3"/>
  </r>
  <r>
    <n v="281"/>
    <x v="281"/>
    <s v="Right-Back"/>
    <x v="2"/>
    <x v="0"/>
    <x v="0"/>
    <n v="22.5"/>
    <x v="2"/>
    <x v="5"/>
    <s v="Tottenham Hotspur"/>
    <n v="15"/>
    <n v="0"/>
    <n v="0"/>
    <n v="0"/>
    <x v="7"/>
    <n v="0"/>
    <n v="0"/>
    <n v="1"/>
    <n v="0"/>
    <n v="0"/>
    <n v="5"/>
    <n v="1"/>
  </r>
  <r>
    <n v="282"/>
    <x v="282"/>
    <s v="Left Winger"/>
    <x v="0"/>
    <x v="1"/>
    <x v="0"/>
    <n v="22.5"/>
    <x v="2"/>
    <x v="42"/>
    <s v="RB Leipzig"/>
    <n v="15"/>
    <n v="6"/>
    <n v="0"/>
    <n v="3"/>
    <x v="2"/>
    <n v="0.6"/>
    <n v="2.6666666666666665E-2"/>
    <n v="1"/>
    <n v="0"/>
    <n v="0"/>
    <n v="6"/>
    <n v="7"/>
  </r>
  <r>
    <n v="283"/>
    <x v="283"/>
    <s v="Centre-Forward"/>
    <x v="0"/>
    <x v="12"/>
    <x v="0"/>
    <n v="22.5"/>
    <x v="2"/>
    <x v="4"/>
    <s v="Club Brugge KV"/>
    <n v="21"/>
    <n v="5"/>
    <n v="0"/>
    <n v="4"/>
    <x v="2"/>
    <n v="0.42857142857142855"/>
    <n v="1.9047619047619046E-2"/>
    <n v="4"/>
    <n v="0"/>
    <n v="0"/>
    <n v="0"/>
    <n v="8"/>
  </r>
  <r>
    <n v="284"/>
    <x v="284"/>
    <s v="Centre-Back"/>
    <x v="2"/>
    <x v="10"/>
    <x v="0"/>
    <n v="22.5"/>
    <x v="2"/>
    <x v="5"/>
    <s v="Arsenal FC"/>
    <n v="9"/>
    <n v="1"/>
    <n v="0"/>
    <n v="0"/>
    <x v="14"/>
    <n v="0.1111111111111111"/>
    <n v="4.9382716049382715E-3"/>
    <n v="1"/>
    <n v="0"/>
    <n v="0"/>
    <n v="0"/>
    <n v="1"/>
  </r>
  <r>
    <n v="285"/>
    <x v="285"/>
    <s v="Right Winger"/>
    <x v="0"/>
    <x v="10"/>
    <x v="0"/>
    <n v="22.5"/>
    <x v="2"/>
    <x v="7"/>
    <s v="Sporting CP"/>
    <n v="13"/>
    <n v="9"/>
    <n v="0"/>
    <n v="1"/>
    <x v="13"/>
    <n v="0.76923076923076927"/>
    <n v="3.4188034188034191E-2"/>
    <n v="2"/>
    <n v="0"/>
    <n v="0"/>
    <n v="2"/>
    <n v="9"/>
  </r>
  <r>
    <n v="286"/>
    <x v="286"/>
    <s v="Centre-Back"/>
    <x v="2"/>
    <x v="6"/>
    <x v="1"/>
    <n v="22.5"/>
    <x v="2"/>
    <x v="16"/>
    <s v="ACF Fiorentina"/>
    <n v="13"/>
    <n v="2"/>
    <n v="0"/>
    <n v="0"/>
    <x v="8"/>
    <n v="0.15384615384615385"/>
    <n v="6.8376068376068376E-3"/>
    <n v="2"/>
    <n v="1"/>
    <n v="0"/>
    <n v="0"/>
    <n v="0"/>
  </r>
  <r>
    <n v="287"/>
    <x v="287"/>
    <s v="Centre-Back"/>
    <x v="2"/>
    <x v="6"/>
    <x v="1"/>
    <n v="22.5"/>
    <x v="2"/>
    <x v="2"/>
    <s v="Aston Villa"/>
    <n v="11"/>
    <n v="0"/>
    <n v="0"/>
    <n v="0"/>
    <x v="7"/>
    <n v="0"/>
    <n v="0"/>
    <n v="0"/>
    <n v="0"/>
    <n v="1"/>
    <n v="1"/>
    <n v="1"/>
  </r>
  <r>
    <n v="288"/>
    <x v="288"/>
    <s v="Central Midfield"/>
    <x v="1"/>
    <x v="11"/>
    <x v="1"/>
    <n v="22.5"/>
    <x v="2"/>
    <x v="43"/>
    <s v="Brighton &amp; Hove Albion"/>
    <n v="8"/>
    <n v="0"/>
    <n v="0"/>
    <n v="1"/>
    <x v="14"/>
    <n v="0.125"/>
    <n v="5.5555555555555558E-3"/>
    <n v="2"/>
    <n v="0"/>
    <n v="0"/>
    <n v="1"/>
    <n v="2"/>
  </r>
  <r>
    <n v="289"/>
    <x v="289"/>
    <s v="Centre-Forward"/>
    <x v="0"/>
    <x v="11"/>
    <x v="1"/>
    <n v="22.5"/>
    <x v="2"/>
    <x v="18"/>
    <s v="Valencia CF"/>
    <n v="9"/>
    <n v="1"/>
    <n v="0"/>
    <n v="1"/>
    <x v="8"/>
    <n v="0.22222222222222221"/>
    <n v="9.876543209876543E-3"/>
    <n v="3"/>
    <n v="1"/>
    <n v="0"/>
    <n v="0"/>
    <n v="3"/>
  </r>
  <r>
    <n v="290"/>
    <x v="290"/>
    <s v="Left Winger"/>
    <x v="0"/>
    <x v="0"/>
    <x v="0"/>
    <n v="22.5"/>
    <x v="2"/>
    <x v="7"/>
    <s v="AC Milan"/>
    <n v="17"/>
    <n v="5"/>
    <n v="0"/>
    <n v="3"/>
    <x v="12"/>
    <n v="0.47058823529411764"/>
    <n v="2.0915032679738561E-2"/>
    <n v="2"/>
    <n v="0"/>
    <n v="0"/>
    <n v="3"/>
    <n v="9"/>
  </r>
  <r>
    <n v="291"/>
    <x v="291"/>
    <s v="Attacking Midfield"/>
    <x v="1"/>
    <x v="11"/>
    <x v="1"/>
    <n v="22.5"/>
    <x v="2"/>
    <x v="44"/>
    <s v="Eintracht Frankfurt"/>
    <n v="15"/>
    <n v="2"/>
    <n v="0"/>
    <n v="1"/>
    <x v="11"/>
    <n v="0.2"/>
    <n v="8.8888888888888889E-3"/>
    <n v="0"/>
    <n v="0"/>
    <n v="0"/>
    <n v="4"/>
    <n v="4"/>
  </r>
  <r>
    <n v="292"/>
    <x v="292"/>
    <s v="Left Winger"/>
    <x v="0"/>
    <x v="6"/>
    <x v="1"/>
    <n v="22.5"/>
    <x v="2"/>
    <x v="6"/>
    <s v="Villarreal CF"/>
    <n v="15"/>
    <n v="7"/>
    <n v="0"/>
    <n v="2"/>
    <x v="2"/>
    <n v="0.6"/>
    <n v="2.6666666666666665E-2"/>
    <n v="1"/>
    <n v="0"/>
    <n v="0"/>
    <n v="3"/>
    <n v="7"/>
  </r>
  <r>
    <n v="293"/>
    <x v="293"/>
    <s v="Defensive Midfield"/>
    <x v="1"/>
    <x v="3"/>
    <x v="1"/>
    <n v="22.5"/>
    <x v="2"/>
    <x v="45"/>
    <s v="SSC Napoli"/>
    <n v="17"/>
    <n v="0"/>
    <n v="0"/>
    <n v="0"/>
    <x v="7"/>
    <n v="0"/>
    <n v="0"/>
    <n v="4"/>
    <n v="0"/>
    <n v="0"/>
    <n v="4"/>
    <n v="4"/>
  </r>
  <r>
    <n v="294"/>
    <x v="294"/>
    <s v="Centre-Back"/>
    <x v="2"/>
    <x v="11"/>
    <x v="1"/>
    <n v="22.5"/>
    <x v="2"/>
    <x v="0"/>
    <s v="Real Sociedad"/>
    <n v="16"/>
    <n v="0"/>
    <n v="0"/>
    <n v="0"/>
    <x v="7"/>
    <n v="0"/>
    <n v="0"/>
    <n v="3"/>
    <n v="0"/>
    <n v="0"/>
    <n v="0"/>
    <n v="1"/>
  </r>
  <r>
    <n v="295"/>
    <x v="295"/>
    <s v="Right-Back"/>
    <x v="2"/>
    <x v="6"/>
    <x v="1"/>
    <n v="22.5"/>
    <x v="2"/>
    <x v="0"/>
    <s v="RB Leipzig"/>
    <n v="15"/>
    <n v="2"/>
    <n v="1"/>
    <n v="1"/>
    <x v="11"/>
    <n v="0.2"/>
    <n v="8.8888888888888889E-3"/>
    <n v="2"/>
    <n v="0"/>
    <n v="0"/>
    <n v="4"/>
    <n v="2"/>
  </r>
  <r>
    <n v="296"/>
    <x v="296"/>
    <s v="Centre-Back"/>
    <x v="2"/>
    <x v="10"/>
    <x v="0"/>
    <n v="22.5"/>
    <x v="2"/>
    <x v="2"/>
    <s v="Everton FC"/>
    <n v="9"/>
    <n v="0"/>
    <n v="0"/>
    <n v="0"/>
    <x v="7"/>
    <n v="0"/>
    <n v="0"/>
    <n v="1"/>
    <n v="0"/>
    <n v="0"/>
    <n v="0"/>
    <n v="2"/>
  </r>
  <r>
    <n v="297"/>
    <x v="297"/>
    <s v="Left Winger"/>
    <x v="0"/>
    <x v="0"/>
    <x v="0"/>
    <n v="22.5"/>
    <x v="2"/>
    <x v="6"/>
    <s v="Club Brugge KV"/>
    <n v="19"/>
    <n v="4"/>
    <n v="0"/>
    <n v="6"/>
    <x v="13"/>
    <n v="0.52631578947368418"/>
    <n v="2.3391812865497075E-2"/>
    <n v="7"/>
    <n v="0"/>
    <n v="0"/>
    <n v="2"/>
    <n v="7"/>
  </r>
  <r>
    <n v="298"/>
    <x v="298"/>
    <s v="Central Midfield"/>
    <x v="1"/>
    <x v="10"/>
    <x v="0"/>
    <n v="22.5"/>
    <x v="2"/>
    <x v="25"/>
    <s v="Juventus FC"/>
    <n v="13"/>
    <n v="2"/>
    <n v="0"/>
    <n v="0"/>
    <x v="8"/>
    <n v="0.15384615384615385"/>
    <n v="6.8376068376068376E-3"/>
    <n v="0"/>
    <n v="0"/>
    <n v="0"/>
    <n v="4"/>
    <n v="3"/>
  </r>
  <r>
    <n v="299"/>
    <x v="299"/>
    <s v="Right Midfield"/>
    <x v="1"/>
    <x v="10"/>
    <x v="0"/>
    <n v="22.5"/>
    <x v="2"/>
    <x v="8"/>
    <s v="VfL Wolfsburg"/>
    <n v="16"/>
    <n v="4"/>
    <n v="0"/>
    <n v="0"/>
    <x v="5"/>
    <n v="0.25"/>
    <n v="1.1111111111111112E-2"/>
    <n v="3"/>
    <n v="0"/>
    <n v="0"/>
    <n v="2"/>
    <n v="7"/>
  </r>
  <r>
    <n v="300"/>
    <x v="300"/>
    <s v="Right Winger"/>
    <x v="0"/>
    <x v="10"/>
    <x v="0"/>
    <n v="22.5"/>
    <x v="2"/>
    <x v="0"/>
    <s v="LOSC Lille"/>
    <n v="18"/>
    <n v="2"/>
    <n v="0"/>
    <n v="0"/>
    <x v="8"/>
    <n v="0.1111111111111111"/>
    <n v="4.9382716049382715E-3"/>
    <n v="4"/>
    <n v="0"/>
    <n v="0"/>
    <n v="7"/>
    <n v="10"/>
  </r>
  <r>
    <n v="301"/>
    <x v="301"/>
    <s v="Left Winger"/>
    <x v="0"/>
    <x v="11"/>
    <x v="1"/>
    <n v="22.5"/>
    <x v="2"/>
    <x v="0"/>
    <s v="LOSC Lille"/>
    <n v="12"/>
    <n v="0"/>
    <n v="0"/>
    <n v="0"/>
    <x v="7"/>
    <n v="0"/>
    <n v="0"/>
    <n v="3"/>
    <n v="0"/>
    <n v="0"/>
    <n v="2"/>
    <n v="5"/>
  </r>
  <r>
    <n v="302"/>
    <x v="302"/>
    <s v="Left Winger"/>
    <x v="0"/>
    <x v="3"/>
    <x v="1"/>
    <n v="22.5"/>
    <x v="2"/>
    <x v="30"/>
    <s v="West Ham United"/>
    <n v="16"/>
    <n v="6"/>
    <n v="0"/>
    <n v="3"/>
    <x v="2"/>
    <n v="0.5625"/>
    <n v="2.5000000000000001E-2"/>
    <n v="0"/>
    <n v="0"/>
    <n v="0"/>
    <n v="3"/>
    <n v="8"/>
  </r>
  <r>
    <n v="303"/>
    <x v="303"/>
    <s v="Central Midfield"/>
    <x v="1"/>
    <x v="6"/>
    <x v="1"/>
    <n v="22.5"/>
    <x v="2"/>
    <x v="6"/>
    <s v="Manchester United"/>
    <n v="5"/>
    <n v="0"/>
    <n v="0"/>
    <n v="0"/>
    <x v="7"/>
    <n v="0"/>
    <n v="0"/>
    <n v="0"/>
    <n v="0"/>
    <n v="0"/>
    <n v="3"/>
    <n v="1"/>
  </r>
  <r>
    <n v="304"/>
    <x v="304"/>
    <s v="Left-Back"/>
    <x v="2"/>
    <x v="6"/>
    <x v="1"/>
    <n v="22.5"/>
    <x v="2"/>
    <x v="11"/>
    <s v="Tottenham Hotspur"/>
    <n v="13"/>
    <n v="0"/>
    <n v="0"/>
    <n v="2"/>
    <x v="8"/>
    <n v="0.15384615384615385"/>
    <n v="6.8376068376068376E-3"/>
    <n v="1"/>
    <n v="0"/>
    <n v="0"/>
    <n v="1"/>
    <n v="3"/>
  </r>
  <r>
    <n v="305"/>
    <x v="305"/>
    <s v="Centre-Back"/>
    <x v="2"/>
    <x v="3"/>
    <x v="1"/>
    <n v="22.5"/>
    <x v="2"/>
    <x v="4"/>
    <s v="Olympique Lyon"/>
    <n v="14"/>
    <n v="2"/>
    <n v="0"/>
    <n v="0"/>
    <x v="8"/>
    <n v="0.14285714285714285"/>
    <n v="6.3492063492063492E-3"/>
    <n v="1"/>
    <n v="0"/>
    <n v="0"/>
    <n v="3"/>
    <n v="1"/>
  </r>
  <r>
    <n v="306"/>
    <x v="306"/>
    <s v="Right Winger"/>
    <x v="0"/>
    <x v="6"/>
    <x v="1"/>
    <n v="22.5"/>
    <x v="2"/>
    <x v="39"/>
    <s v="Dynamo Kyiv"/>
    <n v="20"/>
    <n v="9"/>
    <n v="0"/>
    <n v="2"/>
    <x v="17"/>
    <n v="0.55000000000000004"/>
    <n v="2.4444444444444446E-2"/>
    <n v="1"/>
    <n v="0"/>
    <n v="0"/>
    <n v="2"/>
    <n v="8"/>
  </r>
  <r>
    <n v="307"/>
    <x v="307"/>
    <s v="Right-Back"/>
    <x v="2"/>
    <x v="6"/>
    <x v="1"/>
    <n v="22.5"/>
    <x v="2"/>
    <x v="15"/>
    <s v="AC Milan"/>
    <n v="14"/>
    <n v="2"/>
    <n v="0"/>
    <n v="1"/>
    <x v="11"/>
    <n v="0.21428571428571427"/>
    <n v="9.5238095238095229E-3"/>
    <n v="2"/>
    <n v="0"/>
    <n v="0"/>
    <n v="1"/>
    <n v="2"/>
  </r>
  <r>
    <n v="308"/>
    <x v="308"/>
    <s v="Right Winger"/>
    <x v="0"/>
    <x v="3"/>
    <x v="1"/>
    <n v="22.5"/>
    <x v="2"/>
    <x v="7"/>
    <s v="Wolverhampton Wanderers"/>
    <n v="10"/>
    <n v="2"/>
    <n v="0"/>
    <n v="1"/>
    <x v="11"/>
    <n v="0.3"/>
    <n v="1.3333333333333332E-2"/>
    <n v="0"/>
    <n v="0"/>
    <n v="0"/>
    <n v="7"/>
    <n v="3"/>
  </r>
  <r>
    <n v="309"/>
    <x v="309"/>
    <s v="Centre-Forward"/>
    <x v="0"/>
    <x v="7"/>
    <x v="1"/>
    <n v="22.5"/>
    <x v="2"/>
    <x v="11"/>
    <s v="Athletic Bilbao"/>
    <n v="12"/>
    <n v="3"/>
    <n v="0"/>
    <n v="1"/>
    <x v="5"/>
    <n v="0.33333333333333331"/>
    <n v="1.4814814814814814E-2"/>
    <n v="0"/>
    <n v="0"/>
    <n v="0"/>
    <n v="1"/>
    <n v="4"/>
  </r>
  <r>
    <n v="310"/>
    <x v="310"/>
    <s v="Centre-Back"/>
    <x v="2"/>
    <x v="11"/>
    <x v="1"/>
    <n v="22.5"/>
    <x v="2"/>
    <x v="22"/>
    <s v="Southampton FC"/>
    <n v="10"/>
    <n v="0"/>
    <n v="0"/>
    <n v="0"/>
    <x v="7"/>
    <n v="0"/>
    <n v="0"/>
    <n v="1"/>
    <n v="0"/>
    <n v="0"/>
    <n v="2"/>
    <n v="0"/>
  </r>
  <r>
    <n v="311"/>
    <x v="311"/>
    <s v="Left-Back"/>
    <x v="2"/>
    <x v="11"/>
    <x v="1"/>
    <n v="22.5"/>
    <x v="2"/>
    <x v="9"/>
    <s v="Paris Saint-Germain"/>
    <n v="9"/>
    <n v="0"/>
    <n v="0"/>
    <n v="1"/>
    <x v="14"/>
    <n v="0.1111111111111111"/>
    <n v="4.9382716049382715E-3"/>
    <n v="2"/>
    <n v="0"/>
    <n v="0"/>
    <n v="0"/>
    <n v="3"/>
  </r>
  <r>
    <n v="312"/>
    <x v="312"/>
    <s v="Centre-Back"/>
    <x v="2"/>
    <x v="11"/>
    <x v="1"/>
    <n v="22.5"/>
    <x v="2"/>
    <x v="8"/>
    <s v="Paris Saint-Germain"/>
    <n v="12"/>
    <n v="0"/>
    <n v="0"/>
    <n v="0"/>
    <x v="7"/>
    <n v="0"/>
    <n v="0"/>
    <n v="1"/>
    <n v="0"/>
    <n v="0"/>
    <n v="3"/>
    <n v="1"/>
  </r>
  <r>
    <n v="313"/>
    <x v="313"/>
    <s v="Left Winger"/>
    <x v="0"/>
    <x v="6"/>
    <x v="1"/>
    <n v="22.5"/>
    <x v="2"/>
    <x v="7"/>
    <s v="Valencia CF"/>
    <n v="15"/>
    <n v="3"/>
    <n v="0"/>
    <n v="4"/>
    <x v="10"/>
    <n v="0.46666666666666667"/>
    <n v="2.074074074074074E-2"/>
    <n v="1"/>
    <n v="0"/>
    <n v="0"/>
    <n v="0"/>
    <n v="11"/>
  </r>
  <r>
    <n v="314"/>
    <x v="314"/>
    <s v="Attacking Midfield"/>
    <x v="1"/>
    <x v="2"/>
    <x v="1"/>
    <n v="22.5"/>
    <x v="2"/>
    <x v="0"/>
    <s v="Real Betis Balompié"/>
    <n v="16"/>
    <n v="2"/>
    <n v="0"/>
    <n v="3"/>
    <x v="3"/>
    <n v="0.3125"/>
    <n v="1.3888888888888888E-2"/>
    <n v="5"/>
    <n v="0"/>
    <n v="1"/>
    <n v="0"/>
    <n v="9"/>
  </r>
  <r>
    <n v="315"/>
    <x v="315"/>
    <s v="Centre-Back"/>
    <x v="2"/>
    <x v="11"/>
    <x v="1"/>
    <n v="22.5"/>
    <x v="2"/>
    <x v="38"/>
    <s v="Borussia Mönchengladbach"/>
    <n v="13"/>
    <n v="0"/>
    <n v="0"/>
    <n v="1"/>
    <x v="14"/>
    <n v="7.6923076923076927E-2"/>
    <n v="3.4188034188034188E-3"/>
    <n v="1"/>
    <n v="0"/>
    <n v="0"/>
    <n v="0"/>
    <n v="1"/>
  </r>
  <r>
    <n v="316"/>
    <x v="316"/>
    <s v="Goalkeeper"/>
    <x v="3"/>
    <x v="3"/>
    <x v="1"/>
    <n v="22.5"/>
    <x v="2"/>
    <x v="0"/>
    <s v="AC Milan"/>
    <n v="9"/>
    <n v="0"/>
    <n v="0"/>
    <n v="0"/>
    <x v="7"/>
    <n v="0"/>
    <n v="0"/>
    <n v="1"/>
    <n v="0"/>
    <n v="0"/>
    <n v="0"/>
    <n v="0"/>
  </r>
  <r>
    <n v="317"/>
    <x v="317"/>
    <s v="Centre-Forward"/>
    <x v="0"/>
    <x v="3"/>
    <x v="1"/>
    <n v="22.5"/>
    <x v="2"/>
    <x v="46"/>
    <s v="Zenit St. Petersburg"/>
    <n v="18"/>
    <n v="9"/>
    <n v="0"/>
    <n v="4"/>
    <x v="9"/>
    <n v="0.72222222222222221"/>
    <n v="3.2098765432098768E-2"/>
    <n v="1"/>
    <n v="0"/>
    <n v="1"/>
    <n v="5"/>
    <n v="4"/>
  </r>
  <r>
    <n v="318"/>
    <x v="318"/>
    <s v="Centre-Back"/>
    <x v="2"/>
    <x v="4"/>
    <x v="1"/>
    <n v="22.5"/>
    <x v="2"/>
    <x v="2"/>
    <s v="Burnley FC"/>
    <n v="12"/>
    <n v="1"/>
    <n v="0"/>
    <n v="0"/>
    <x v="14"/>
    <n v="8.3333333333333329E-2"/>
    <n v="3.7037037037037034E-3"/>
    <n v="5"/>
    <n v="0"/>
    <n v="0"/>
    <n v="0"/>
    <n v="0"/>
  </r>
  <r>
    <n v="319"/>
    <x v="319"/>
    <s v="Centre-Back"/>
    <x v="2"/>
    <x v="5"/>
    <x v="2"/>
    <n v="22.5"/>
    <x v="2"/>
    <x v="11"/>
    <s v="Athletic Bilbao"/>
    <n v="10"/>
    <n v="2"/>
    <n v="0"/>
    <n v="0"/>
    <x v="8"/>
    <n v="0.2"/>
    <n v="8.8888888888888889E-3"/>
    <n v="2"/>
    <n v="1"/>
    <n v="0"/>
    <n v="0"/>
    <n v="0"/>
  </r>
  <r>
    <n v="320"/>
    <x v="320"/>
    <s v="Central Midfield"/>
    <x v="1"/>
    <x v="4"/>
    <x v="1"/>
    <n v="22.5"/>
    <x v="2"/>
    <x v="38"/>
    <s v="Atalanta BC"/>
    <n v="15"/>
    <n v="1"/>
    <n v="0"/>
    <n v="0"/>
    <x v="14"/>
    <n v="6.6666666666666666E-2"/>
    <n v="2.9629629629629628E-3"/>
    <n v="2"/>
    <n v="0"/>
    <n v="0"/>
    <n v="1"/>
    <n v="3"/>
  </r>
  <r>
    <n v="321"/>
    <x v="321"/>
    <s v="Centre-Back"/>
    <x v="2"/>
    <x v="4"/>
    <x v="1"/>
    <n v="22.5"/>
    <x v="2"/>
    <x v="2"/>
    <s v="Brighton &amp; Hove Albion"/>
    <n v="12"/>
    <n v="0"/>
    <n v="0"/>
    <n v="0"/>
    <x v="7"/>
    <n v="0"/>
    <n v="0"/>
    <n v="0"/>
    <n v="0"/>
    <n v="0"/>
    <n v="1"/>
    <n v="0"/>
  </r>
  <r>
    <n v="322"/>
    <x v="322"/>
    <s v="Right-Back"/>
    <x v="2"/>
    <x v="4"/>
    <x v="1"/>
    <n v="22.5"/>
    <x v="2"/>
    <x v="11"/>
    <s v="Real Madrid"/>
    <n v="10"/>
    <n v="1"/>
    <n v="0"/>
    <n v="0"/>
    <x v="14"/>
    <n v="0.1"/>
    <n v="4.4444444444444444E-3"/>
    <n v="0"/>
    <n v="0"/>
    <n v="0"/>
    <n v="3"/>
    <n v="4"/>
  </r>
  <r>
    <n v="323"/>
    <x v="323"/>
    <s v="Goalkeeper"/>
    <x v="3"/>
    <x v="7"/>
    <x v="1"/>
    <n v="22.5"/>
    <x v="2"/>
    <x v="2"/>
    <s v="Everton FC"/>
    <n v="10"/>
    <n v="0"/>
    <n v="0"/>
    <n v="0"/>
    <x v="7"/>
    <n v="0"/>
    <n v="0"/>
    <n v="1"/>
    <n v="0"/>
    <n v="0"/>
    <n v="0"/>
    <n v="0"/>
  </r>
  <r>
    <n v="324"/>
    <x v="324"/>
    <s v="Centre-Back"/>
    <x v="2"/>
    <x v="2"/>
    <x v="1"/>
    <n v="22.5"/>
    <x v="2"/>
    <x v="2"/>
    <s v="Wolverhampton Wanderers"/>
    <n v="13"/>
    <n v="1"/>
    <n v="0"/>
    <n v="0"/>
    <x v="14"/>
    <n v="7.6923076923076927E-2"/>
    <n v="3.4188034188034188E-3"/>
    <n v="1"/>
    <n v="0"/>
    <n v="0"/>
    <n v="1"/>
    <n v="1"/>
  </r>
  <r>
    <n v="325"/>
    <x v="325"/>
    <s v="Central Midfield"/>
    <x v="1"/>
    <x v="2"/>
    <x v="1"/>
    <n v="22.5"/>
    <x v="2"/>
    <x v="0"/>
    <s v="Everton FC"/>
    <n v="9"/>
    <n v="2"/>
    <n v="0"/>
    <n v="4"/>
    <x v="6"/>
    <n v="0.66666666666666663"/>
    <n v="2.9629629629629627E-2"/>
    <n v="3"/>
    <n v="0"/>
    <n v="0"/>
    <n v="1"/>
    <n v="0"/>
  </r>
  <r>
    <n v="326"/>
    <x v="326"/>
    <s v="Centre-Back"/>
    <x v="2"/>
    <x v="2"/>
    <x v="1"/>
    <n v="22.5"/>
    <x v="2"/>
    <x v="2"/>
    <s v="Everton FC"/>
    <n v="13"/>
    <n v="1"/>
    <n v="0"/>
    <n v="2"/>
    <x v="11"/>
    <n v="0.23076923076923078"/>
    <n v="1.0256410256410256E-2"/>
    <n v="0"/>
    <n v="0"/>
    <n v="0"/>
    <n v="1"/>
    <n v="0"/>
  </r>
  <r>
    <n v="327"/>
    <x v="327"/>
    <s v="Centre-Back"/>
    <x v="2"/>
    <x v="5"/>
    <x v="2"/>
    <n v="22.5"/>
    <x v="2"/>
    <x v="47"/>
    <s v="Atlético de Madrid"/>
    <n v="10"/>
    <n v="0"/>
    <n v="1"/>
    <n v="0"/>
    <x v="7"/>
    <n v="0"/>
    <n v="0"/>
    <n v="2"/>
    <n v="0"/>
    <n v="0"/>
    <n v="0"/>
    <n v="0"/>
  </r>
  <r>
    <n v="328"/>
    <x v="328"/>
    <s v="Right Winger"/>
    <x v="0"/>
    <x v="4"/>
    <x v="1"/>
    <n v="22.5"/>
    <x v="2"/>
    <x v="5"/>
    <s v="Tottenham Hotspur"/>
    <n v="15"/>
    <n v="2"/>
    <n v="0"/>
    <n v="1"/>
    <x v="11"/>
    <n v="0.2"/>
    <n v="8.8888888888888889E-3"/>
    <n v="2"/>
    <n v="0"/>
    <n v="0"/>
    <n v="3"/>
    <n v="8"/>
  </r>
  <r>
    <n v="329"/>
    <x v="329"/>
    <s v="Right Winger"/>
    <x v="0"/>
    <x v="4"/>
    <x v="1"/>
    <n v="22.5"/>
    <x v="2"/>
    <x v="11"/>
    <s v="Sporting CP"/>
    <n v="15"/>
    <n v="3"/>
    <n v="0"/>
    <n v="3"/>
    <x v="6"/>
    <n v="0.4"/>
    <n v="1.7777777777777778E-2"/>
    <n v="2"/>
    <n v="0"/>
    <n v="0"/>
    <n v="5"/>
    <n v="9"/>
  </r>
  <r>
    <n v="330"/>
    <x v="330"/>
    <s v="Central Midfield"/>
    <x v="1"/>
    <x v="5"/>
    <x v="2"/>
    <n v="22.5"/>
    <x v="2"/>
    <x v="11"/>
    <s v="Liverpool FC"/>
    <n v="7"/>
    <n v="0"/>
    <n v="0"/>
    <n v="1"/>
    <x v="14"/>
    <n v="0.14285714285714285"/>
    <n v="6.3492063492063492E-3"/>
    <n v="0"/>
    <n v="0"/>
    <n v="0"/>
    <n v="5"/>
    <n v="2"/>
  </r>
  <r>
    <n v="331"/>
    <x v="331"/>
    <s v="Centre-Forward"/>
    <x v="0"/>
    <x v="17"/>
    <x v="2"/>
    <n v="22.5"/>
    <x v="2"/>
    <x v="48"/>
    <s v="Arsenal FC"/>
    <n v="11"/>
    <n v="7"/>
    <n v="0"/>
    <n v="2"/>
    <x v="2"/>
    <n v="0.81818181818181823"/>
    <n v="3.6363636363636369E-2"/>
    <n v="2"/>
    <n v="0"/>
    <n v="0"/>
    <n v="1"/>
    <n v="4"/>
  </r>
  <r>
    <n v="332"/>
    <x v="332"/>
    <s v="Left Winger"/>
    <x v="0"/>
    <x v="5"/>
    <x v="2"/>
    <n v="22.5"/>
    <x v="2"/>
    <x v="4"/>
    <s v="Real Madrid"/>
    <n v="11"/>
    <n v="0"/>
    <n v="0"/>
    <n v="1"/>
    <x v="14"/>
    <n v="9.0909090909090912E-2"/>
    <n v="4.0404040404040404E-3"/>
    <n v="1"/>
    <n v="0"/>
    <n v="0"/>
    <n v="6"/>
    <n v="5"/>
  </r>
  <r>
    <n v="333"/>
    <x v="333"/>
    <s v="Centre-Forward"/>
    <x v="0"/>
    <x v="14"/>
    <x v="2"/>
    <n v="22.5"/>
    <x v="2"/>
    <x v="0"/>
    <s v="Real Madrid"/>
    <n v="15"/>
    <n v="14"/>
    <n v="0"/>
    <n v="8"/>
    <x v="22"/>
    <n v="1.4666666666666666"/>
    <n v="6.5185185185185179E-2"/>
    <n v="0"/>
    <n v="0"/>
    <n v="0"/>
    <n v="0"/>
    <n v="4"/>
  </r>
  <r>
    <n v="334"/>
    <x v="334"/>
    <s v="Left Winger"/>
    <x v="0"/>
    <x v="10"/>
    <x v="0"/>
    <n v="21.6"/>
    <x v="2"/>
    <x v="12"/>
    <s v="ACF Fiorentina"/>
    <n v="9"/>
    <n v="3"/>
    <n v="0"/>
    <n v="2"/>
    <x v="3"/>
    <n v="0.55555555555555558"/>
    <n v="2.5720164609053499E-2"/>
    <n v="0"/>
    <n v="1"/>
    <n v="0"/>
    <n v="2"/>
    <n v="4"/>
  </r>
  <r>
    <n v="335"/>
    <x v="335"/>
    <s v="Central Midfield"/>
    <x v="1"/>
    <x v="10"/>
    <x v="0"/>
    <n v="21.6"/>
    <x v="2"/>
    <x v="43"/>
    <s v="RB Leipzig"/>
    <n v="16"/>
    <n v="3"/>
    <n v="0"/>
    <n v="0"/>
    <x v="11"/>
    <n v="0.1875"/>
    <n v="8.6805555555555542E-3"/>
    <n v="1"/>
    <n v="0"/>
    <n v="0"/>
    <n v="4"/>
    <n v="7"/>
  </r>
  <r>
    <n v="336"/>
    <x v="336"/>
    <s v="Right Winger"/>
    <x v="0"/>
    <x v="2"/>
    <x v="1"/>
    <n v="21.6"/>
    <x v="2"/>
    <x v="7"/>
    <s v="SL Benfica"/>
    <n v="20"/>
    <n v="8"/>
    <n v="0"/>
    <n v="3"/>
    <x v="17"/>
    <n v="0.55000000000000004"/>
    <n v="2.5462962962962965E-2"/>
    <n v="4"/>
    <n v="0"/>
    <n v="0"/>
    <n v="7"/>
    <n v="9"/>
  </r>
  <r>
    <n v="337"/>
    <x v="337"/>
    <s v="Attacking Midfield"/>
    <x v="1"/>
    <x v="3"/>
    <x v="1"/>
    <n v="21.6"/>
    <x v="2"/>
    <x v="7"/>
    <s v="FC Porto"/>
    <n v="17"/>
    <n v="1"/>
    <n v="0"/>
    <n v="5"/>
    <x v="6"/>
    <n v="0.35294117647058826"/>
    <n v="1.6339869281045753E-2"/>
    <n v="5"/>
    <n v="0"/>
    <n v="0"/>
    <n v="1"/>
    <n v="13"/>
  </r>
  <r>
    <n v="338"/>
    <x v="338"/>
    <s v="Centre-Back"/>
    <x v="2"/>
    <x v="7"/>
    <x v="1"/>
    <n v="21.6"/>
    <x v="2"/>
    <x v="32"/>
    <s v="Manchester United"/>
    <n v="12"/>
    <n v="0"/>
    <n v="0"/>
    <n v="2"/>
    <x v="8"/>
    <n v="0.16666666666666666"/>
    <n v="7.7160493827160481E-3"/>
    <n v="1"/>
    <n v="0"/>
    <n v="0"/>
    <n v="1"/>
    <n v="0"/>
  </r>
  <r>
    <n v="339"/>
    <x v="339"/>
    <s v="Right-Back"/>
    <x v="2"/>
    <x v="2"/>
    <x v="1"/>
    <n v="21.6"/>
    <x v="2"/>
    <x v="15"/>
    <s v="SSC Napoli"/>
    <n v="16"/>
    <n v="1"/>
    <n v="0"/>
    <n v="1"/>
    <x v="8"/>
    <n v="0.125"/>
    <n v="5.7870370370370367E-3"/>
    <n v="3"/>
    <n v="0"/>
    <n v="0"/>
    <n v="0"/>
    <n v="0"/>
  </r>
  <r>
    <n v="340"/>
    <x v="340"/>
    <s v="Centre-Back"/>
    <x v="2"/>
    <x v="12"/>
    <x v="0"/>
    <n v="20.7"/>
    <x v="2"/>
    <x v="23"/>
    <s v="Bayer 04 Leverkusen"/>
    <n v="14"/>
    <n v="0"/>
    <n v="0"/>
    <n v="2"/>
    <x v="8"/>
    <n v="0.14285714285714285"/>
    <n v="6.901311249137336E-3"/>
    <n v="1"/>
    <n v="0"/>
    <n v="0"/>
    <n v="2"/>
    <n v="1"/>
  </r>
  <r>
    <n v="341"/>
    <x v="341"/>
    <s v="Attacking Midfield"/>
    <x v="1"/>
    <x v="8"/>
    <x v="3"/>
    <n v="20.7"/>
    <x v="2"/>
    <x v="0"/>
    <s v="Olympique Lyon"/>
    <n v="17"/>
    <n v="6"/>
    <n v="0"/>
    <n v="3"/>
    <x v="2"/>
    <n v="0.52941176470588236"/>
    <n v="2.557544757033248E-2"/>
    <n v="2"/>
    <n v="0"/>
    <n v="0"/>
    <n v="9"/>
    <n v="7"/>
  </r>
  <r>
    <n v="342"/>
    <x v="342"/>
    <s v="Attacking Midfield"/>
    <x v="1"/>
    <x v="0"/>
    <x v="0"/>
    <n v="20.7"/>
    <x v="2"/>
    <x v="11"/>
    <s v="AC Milan"/>
    <n v="11"/>
    <n v="4"/>
    <n v="0"/>
    <n v="2"/>
    <x v="6"/>
    <n v="0.54545454545454541"/>
    <n v="2.6350461133069828E-2"/>
    <n v="3"/>
    <n v="0"/>
    <n v="0"/>
    <n v="1"/>
    <n v="9"/>
  </r>
  <r>
    <n v="343"/>
    <x v="343"/>
    <s v="Central Midfield"/>
    <x v="1"/>
    <x v="3"/>
    <x v="1"/>
    <n v="20.7"/>
    <x v="2"/>
    <x v="28"/>
    <s v="Atalanta BC"/>
    <n v="16"/>
    <n v="3"/>
    <n v="0"/>
    <n v="5"/>
    <x v="12"/>
    <n v="0.5"/>
    <n v="2.4154589371980676E-2"/>
    <n v="1"/>
    <n v="0"/>
    <n v="0"/>
    <n v="5"/>
    <n v="9"/>
  </r>
  <r>
    <n v="344"/>
    <x v="344"/>
    <s v="Defensive Midfield"/>
    <x v="1"/>
    <x v="5"/>
    <x v="2"/>
    <n v="20.7"/>
    <x v="2"/>
    <x v="6"/>
    <s v="Atalanta BC"/>
    <n v="12"/>
    <n v="1"/>
    <n v="0"/>
    <n v="0"/>
    <x v="14"/>
    <n v="8.3333333333333329E-2"/>
    <n v="4.0257648953301124E-3"/>
    <n v="3"/>
    <n v="0"/>
    <n v="0"/>
    <n v="0"/>
    <n v="1"/>
  </r>
  <r>
    <n v="345"/>
    <x v="345"/>
    <s v="Second Striker"/>
    <x v="0"/>
    <x v="5"/>
    <x v="2"/>
    <n v="20.7"/>
    <x v="2"/>
    <x v="28"/>
    <s v="TSG 1899 Hoffenheim"/>
    <n v="13"/>
    <n v="4"/>
    <n v="0"/>
    <n v="6"/>
    <x v="13"/>
    <n v="0.76923076923076927"/>
    <n v="3.716090672612412E-2"/>
    <n v="2"/>
    <n v="0"/>
    <n v="0"/>
    <n v="0"/>
    <n v="2"/>
  </r>
  <r>
    <n v="346"/>
    <x v="346"/>
    <s v="Left Winger"/>
    <x v="0"/>
    <x v="12"/>
    <x v="0"/>
    <n v="19.8"/>
    <x v="2"/>
    <x v="5"/>
    <s v="Arsenal FC"/>
    <n v="9"/>
    <n v="1"/>
    <n v="0"/>
    <n v="1"/>
    <x v="8"/>
    <n v="0.22222222222222221"/>
    <n v="1.1223344556677889E-2"/>
    <n v="0"/>
    <n v="0"/>
    <n v="0"/>
    <n v="5"/>
    <n v="3"/>
  </r>
  <r>
    <n v="347"/>
    <x v="347"/>
    <s v="Left Winger"/>
    <x v="0"/>
    <x v="1"/>
    <x v="0"/>
    <n v="19.8"/>
    <x v="2"/>
    <x v="2"/>
    <s v="Burnley FC"/>
    <n v="13"/>
    <n v="0"/>
    <n v="0"/>
    <n v="1"/>
    <x v="14"/>
    <n v="7.6923076923076927E-2"/>
    <n v="3.885003885003885E-3"/>
    <n v="2"/>
    <n v="0"/>
    <n v="0"/>
    <n v="0"/>
    <n v="3"/>
  </r>
  <r>
    <n v="348"/>
    <x v="348"/>
    <s v="Right-Back"/>
    <x v="2"/>
    <x v="1"/>
    <x v="0"/>
    <n v="19.8"/>
    <x v="2"/>
    <x v="2"/>
    <s v="Norwich City"/>
    <n v="15"/>
    <n v="0"/>
    <n v="1"/>
    <n v="0"/>
    <x v="7"/>
    <n v="0"/>
    <n v="0"/>
    <n v="5"/>
    <n v="0"/>
    <n v="0"/>
    <n v="1"/>
    <n v="1"/>
  </r>
  <r>
    <n v="349"/>
    <x v="349"/>
    <s v="Right Winger"/>
    <x v="0"/>
    <x v="6"/>
    <x v="1"/>
    <n v="19.8"/>
    <x v="2"/>
    <x v="5"/>
    <s v="Ajax Amsterdam"/>
    <n v="15"/>
    <n v="3"/>
    <n v="0"/>
    <n v="1"/>
    <x v="5"/>
    <n v="0.26666666666666666"/>
    <n v="1.3468013468013467E-2"/>
    <n v="0"/>
    <n v="0"/>
    <n v="0"/>
    <n v="13"/>
    <n v="1"/>
  </r>
  <r>
    <n v="350"/>
    <x v="350"/>
    <s v="Central Midfield"/>
    <x v="1"/>
    <x v="0"/>
    <x v="0"/>
    <n v="19.8"/>
    <x v="2"/>
    <x v="0"/>
    <s v="Olympique Marseille"/>
    <n v="17"/>
    <n v="3"/>
    <n v="0"/>
    <n v="3"/>
    <x v="6"/>
    <n v="0.35294117647058826"/>
    <n v="1.7825311942959002E-2"/>
    <n v="2"/>
    <n v="0"/>
    <n v="0"/>
    <n v="1"/>
    <n v="5"/>
  </r>
  <r>
    <n v="351"/>
    <x v="351"/>
    <s v="Left Winger"/>
    <x v="0"/>
    <x v="0"/>
    <x v="0"/>
    <n v="19.8"/>
    <x v="2"/>
    <x v="6"/>
    <s v="PSV Eindhoven"/>
    <n v="19"/>
    <n v="7"/>
    <n v="0"/>
    <n v="8"/>
    <x v="20"/>
    <n v="0.78947368421052633"/>
    <n v="3.9872408293460927E-2"/>
    <n v="2"/>
    <n v="0"/>
    <n v="0"/>
    <n v="2"/>
    <n v="11"/>
  </r>
  <r>
    <n v="352"/>
    <x v="352"/>
    <s v="Right-Back"/>
    <x v="2"/>
    <x v="6"/>
    <x v="1"/>
    <n v="19.8"/>
    <x v="2"/>
    <x v="22"/>
    <s v="Aston Villa"/>
    <n v="12"/>
    <n v="1"/>
    <n v="0"/>
    <n v="1"/>
    <x v="8"/>
    <n v="0.16666666666666666"/>
    <n v="8.4175084175084174E-3"/>
    <n v="2"/>
    <n v="0"/>
    <n v="0"/>
    <n v="0"/>
    <n v="3"/>
  </r>
  <r>
    <n v="353"/>
    <x v="353"/>
    <s v="Right Winger"/>
    <x v="0"/>
    <x v="1"/>
    <x v="0"/>
    <n v="19.8"/>
    <x v="2"/>
    <x v="7"/>
    <s v="Wolverhampton Wanderers"/>
    <n v="10"/>
    <n v="1"/>
    <n v="0"/>
    <n v="0"/>
    <x v="14"/>
    <n v="0.1"/>
    <n v="5.0505050505050509E-3"/>
    <n v="0"/>
    <n v="0"/>
    <n v="0"/>
    <n v="2"/>
    <n v="7"/>
  </r>
  <r>
    <n v="354"/>
    <x v="354"/>
    <s v="Centre-Back"/>
    <x v="2"/>
    <x v="1"/>
    <x v="0"/>
    <n v="19.8"/>
    <x v="2"/>
    <x v="49"/>
    <s v="AS Roma"/>
    <n v="6"/>
    <n v="0"/>
    <n v="0"/>
    <n v="0"/>
    <x v="7"/>
    <n v="0"/>
    <n v="0"/>
    <n v="1"/>
    <n v="0"/>
    <n v="0"/>
    <n v="3"/>
    <n v="1"/>
  </r>
  <r>
    <n v="355"/>
    <x v="355"/>
    <s v="Centre-Forward"/>
    <x v="0"/>
    <x v="6"/>
    <x v="1"/>
    <n v="19.8"/>
    <x v="2"/>
    <x v="24"/>
    <s v="VfB Stuttgart"/>
    <n v="1"/>
    <n v="0"/>
    <n v="0"/>
    <n v="0"/>
    <x v="7"/>
    <n v="0"/>
    <n v="0"/>
    <n v="0"/>
    <n v="0"/>
    <n v="0"/>
    <n v="1"/>
    <n v="0"/>
  </r>
  <r>
    <n v="356"/>
    <x v="356"/>
    <s v="Centre-Forward"/>
    <x v="0"/>
    <x v="10"/>
    <x v="0"/>
    <n v="19.8"/>
    <x v="2"/>
    <x v="50"/>
    <s v="Leicester City"/>
    <n v="11"/>
    <n v="5"/>
    <n v="0"/>
    <n v="1"/>
    <x v="6"/>
    <n v="0.54545454545454541"/>
    <n v="2.7548209366391182E-2"/>
    <n v="0"/>
    <n v="0"/>
    <n v="0"/>
    <n v="6"/>
    <n v="3"/>
  </r>
  <r>
    <n v="357"/>
    <x v="357"/>
    <s v="Central Midfield"/>
    <x v="1"/>
    <x v="11"/>
    <x v="1"/>
    <n v="19.8"/>
    <x v="2"/>
    <x v="12"/>
    <s v="Tottenham Hotspur"/>
    <n v="14"/>
    <n v="1"/>
    <n v="0"/>
    <n v="1"/>
    <x v="8"/>
    <n v="0.14285714285714285"/>
    <n v="7.2150072150072141E-3"/>
    <n v="0"/>
    <n v="0"/>
    <n v="0"/>
    <n v="6"/>
    <n v="4"/>
  </r>
  <r>
    <n v="358"/>
    <x v="358"/>
    <s v="Defensive Midfield"/>
    <x v="1"/>
    <x v="7"/>
    <x v="1"/>
    <n v="19.8"/>
    <x v="2"/>
    <x v="12"/>
    <s v="Real Betis Balompié"/>
    <n v="15"/>
    <n v="0"/>
    <n v="0"/>
    <n v="2"/>
    <x v="8"/>
    <n v="0.13333333333333333"/>
    <n v="6.7340067340067337E-3"/>
    <n v="2"/>
    <n v="1"/>
    <n v="0"/>
    <n v="4"/>
    <n v="1"/>
  </r>
  <r>
    <n v="359"/>
    <x v="359"/>
    <s v="Central Midfield"/>
    <x v="1"/>
    <x v="0"/>
    <x v="0"/>
    <n v="19.8"/>
    <x v="2"/>
    <x v="2"/>
    <s v="Newcastle United"/>
    <n v="10"/>
    <n v="0"/>
    <n v="0"/>
    <n v="0"/>
    <x v="7"/>
    <n v="0"/>
    <n v="0"/>
    <n v="0"/>
    <n v="0"/>
    <n v="0"/>
    <n v="3"/>
    <n v="6"/>
  </r>
  <r>
    <n v="360"/>
    <x v="360"/>
    <s v="Left Midfield"/>
    <x v="1"/>
    <x v="10"/>
    <x v="0"/>
    <n v="19.8"/>
    <x v="2"/>
    <x v="2"/>
    <s v="Norwich City"/>
    <n v="7"/>
    <n v="1"/>
    <n v="0"/>
    <n v="0"/>
    <x v="14"/>
    <n v="0.14285714285714285"/>
    <n v="7.2150072150072141E-3"/>
    <n v="2"/>
    <n v="0"/>
    <n v="0"/>
    <n v="2"/>
    <n v="1"/>
  </r>
  <r>
    <n v="361"/>
    <x v="361"/>
    <s v="Attacking Midfield"/>
    <x v="1"/>
    <x v="0"/>
    <x v="0"/>
    <n v="19.8"/>
    <x v="2"/>
    <x v="24"/>
    <s v="TSG 1899 Hoffenheim"/>
    <n v="10"/>
    <n v="3"/>
    <n v="0"/>
    <n v="1"/>
    <x v="5"/>
    <n v="0.4"/>
    <n v="2.0202020202020204E-2"/>
    <n v="2"/>
    <n v="0"/>
    <n v="0"/>
    <n v="2"/>
    <n v="7"/>
  </r>
  <r>
    <n v="362"/>
    <x v="362"/>
    <s v="Right Winger"/>
    <x v="0"/>
    <x v="6"/>
    <x v="1"/>
    <n v="19.8"/>
    <x v="2"/>
    <x v="5"/>
    <s v="Zenit St. Petersburg"/>
    <n v="15"/>
    <n v="3"/>
    <n v="0"/>
    <n v="5"/>
    <x v="12"/>
    <n v="0.53333333333333333"/>
    <n v="2.6936026936026935E-2"/>
    <n v="1"/>
    <n v="0"/>
    <n v="0"/>
    <n v="3"/>
    <n v="7"/>
  </r>
  <r>
    <n v="363"/>
    <x v="363"/>
    <s v="Defensive Midfield"/>
    <x v="1"/>
    <x v="10"/>
    <x v="0"/>
    <n v="19.8"/>
    <x v="2"/>
    <x v="4"/>
    <s v="VfB Stuttgart"/>
    <n v="8"/>
    <n v="1"/>
    <n v="0"/>
    <n v="0"/>
    <x v="14"/>
    <n v="0.125"/>
    <n v="6.313131313131313E-3"/>
    <n v="1"/>
    <n v="0"/>
    <n v="0"/>
    <n v="2"/>
    <n v="4"/>
  </r>
  <r>
    <n v="364"/>
    <x v="364"/>
    <s v="Left-Back"/>
    <x v="2"/>
    <x v="3"/>
    <x v="1"/>
    <n v="19.8"/>
    <x v="2"/>
    <x v="30"/>
    <s v="Borussia Mönchengladbach"/>
    <n v="6"/>
    <n v="2"/>
    <n v="0"/>
    <n v="1"/>
    <x v="11"/>
    <n v="0.5"/>
    <n v="2.5252525252525252E-2"/>
    <n v="1"/>
    <n v="0"/>
    <n v="0"/>
    <n v="1"/>
    <n v="0"/>
  </r>
  <r>
    <n v="365"/>
    <x v="365"/>
    <s v="Left Winger"/>
    <x v="0"/>
    <x v="6"/>
    <x v="1"/>
    <n v="19.8"/>
    <x v="2"/>
    <x v="6"/>
    <s v="Tottenham Hotspur"/>
    <n v="9"/>
    <n v="0"/>
    <n v="0"/>
    <n v="1"/>
    <x v="14"/>
    <n v="0.1111111111111111"/>
    <n v="5.6116722783389446E-3"/>
    <n v="1"/>
    <n v="0"/>
    <n v="0"/>
    <n v="3"/>
    <n v="5"/>
  </r>
  <r>
    <n v="366"/>
    <x v="366"/>
    <s v="Centre-Forward"/>
    <x v="0"/>
    <x v="6"/>
    <x v="1"/>
    <n v="19.8"/>
    <x v="2"/>
    <x v="34"/>
    <s v="OGC Nice"/>
    <n v="8"/>
    <n v="3"/>
    <n v="0"/>
    <n v="0"/>
    <x v="11"/>
    <n v="0.375"/>
    <n v="1.893939393939394E-2"/>
    <n v="0"/>
    <n v="0"/>
    <n v="0"/>
    <n v="3"/>
    <n v="4"/>
  </r>
  <r>
    <n v="367"/>
    <x v="367"/>
    <s v="Centre-Forward"/>
    <x v="0"/>
    <x v="7"/>
    <x v="1"/>
    <n v="19.8"/>
    <x v="2"/>
    <x v="20"/>
    <s v="KRC Genk"/>
    <n v="20"/>
    <n v="12"/>
    <n v="0"/>
    <n v="0"/>
    <x v="15"/>
    <n v="0.6"/>
    <n v="3.03030303030303E-2"/>
    <n v="2"/>
    <n v="0"/>
    <n v="0"/>
    <n v="2"/>
    <n v="11"/>
  </r>
  <r>
    <n v="368"/>
    <x v="368"/>
    <s v="Centre-Back"/>
    <x v="2"/>
    <x v="11"/>
    <x v="1"/>
    <n v="19.8"/>
    <x v="2"/>
    <x v="34"/>
    <s v="Crystal Palace"/>
    <n v="12"/>
    <n v="0"/>
    <n v="0"/>
    <n v="0"/>
    <x v="7"/>
    <n v="0"/>
    <n v="0"/>
    <n v="3"/>
    <n v="0"/>
    <n v="0"/>
    <n v="1"/>
    <n v="0"/>
  </r>
  <r>
    <n v="369"/>
    <x v="369"/>
    <s v="Goalkeeper"/>
    <x v="3"/>
    <x v="6"/>
    <x v="1"/>
    <n v="19.8"/>
    <x v="2"/>
    <x v="2"/>
    <s v="Manchester United"/>
    <n v="3"/>
    <n v="0"/>
    <n v="0"/>
    <n v="0"/>
    <x v="7"/>
    <n v="0"/>
    <n v="0"/>
    <n v="0"/>
    <n v="0"/>
    <n v="0"/>
    <n v="0"/>
    <n v="0"/>
  </r>
  <r>
    <n v="370"/>
    <x v="370"/>
    <s v="Left Winger"/>
    <x v="0"/>
    <x v="11"/>
    <x v="1"/>
    <n v="19.8"/>
    <x v="2"/>
    <x v="20"/>
    <s v="Everton FC"/>
    <n v="11"/>
    <n v="2"/>
    <n v="0"/>
    <n v="1"/>
    <x v="11"/>
    <n v="0.27272727272727271"/>
    <n v="1.3774104683195591E-2"/>
    <n v="0"/>
    <n v="0"/>
    <n v="0"/>
    <n v="4"/>
    <n v="5"/>
  </r>
  <r>
    <n v="371"/>
    <x v="371"/>
    <s v="Centre-Back"/>
    <x v="2"/>
    <x v="11"/>
    <x v="1"/>
    <n v="19.8"/>
    <x v="2"/>
    <x v="8"/>
    <s v="Bayer 04 Leverkusen"/>
    <n v="16"/>
    <n v="0"/>
    <n v="0"/>
    <n v="1"/>
    <x v="14"/>
    <n v="6.25E-2"/>
    <n v="3.1565656565656565E-3"/>
    <n v="2"/>
    <n v="0"/>
    <n v="0"/>
    <n v="0"/>
    <n v="0"/>
  </r>
  <r>
    <n v="372"/>
    <x v="372"/>
    <s v="Left-Back"/>
    <x v="2"/>
    <x v="3"/>
    <x v="1"/>
    <n v="19.8"/>
    <x v="2"/>
    <x v="11"/>
    <s v="SL Benfica"/>
    <n v="19"/>
    <n v="2"/>
    <n v="0"/>
    <n v="3"/>
    <x v="3"/>
    <n v="0.26315789473684209"/>
    <n v="1.3290802764486975E-2"/>
    <n v="1"/>
    <n v="0"/>
    <n v="0"/>
    <n v="2"/>
    <n v="7"/>
  </r>
  <r>
    <n v="373"/>
    <x v="373"/>
    <s v="Central Midfield"/>
    <x v="1"/>
    <x v="2"/>
    <x v="1"/>
    <n v="19.8"/>
    <x v="2"/>
    <x v="5"/>
    <s v="Manchester United"/>
    <n v="12"/>
    <n v="1"/>
    <n v="1"/>
    <n v="0"/>
    <x v="14"/>
    <n v="8.3333333333333329E-2"/>
    <n v="4.2087542087542087E-3"/>
    <n v="4"/>
    <n v="0"/>
    <n v="0"/>
    <n v="1"/>
    <n v="6"/>
  </r>
  <r>
    <n v="374"/>
    <x v="374"/>
    <s v="Centre-Forward"/>
    <x v="0"/>
    <x v="2"/>
    <x v="1"/>
    <n v="19.8"/>
    <x v="2"/>
    <x v="2"/>
    <s v="Leeds United"/>
    <n v="6"/>
    <n v="1"/>
    <n v="0"/>
    <n v="3"/>
    <x v="5"/>
    <n v="0.66666666666666663"/>
    <n v="3.3670033670033669E-2"/>
    <n v="1"/>
    <n v="0"/>
    <n v="0"/>
    <n v="1"/>
    <n v="1"/>
  </r>
  <r>
    <n v="375"/>
    <x v="375"/>
    <s v="Centre-Back"/>
    <x v="2"/>
    <x v="7"/>
    <x v="1"/>
    <n v="19.8"/>
    <x v="2"/>
    <x v="2"/>
    <s v="Tottenham Hotspur"/>
    <n v="13"/>
    <n v="0"/>
    <n v="1"/>
    <n v="0"/>
    <x v="7"/>
    <n v="0"/>
    <n v="0"/>
    <n v="0"/>
    <n v="0"/>
    <n v="0"/>
    <n v="0"/>
    <n v="1"/>
  </r>
  <r>
    <n v="376"/>
    <x v="376"/>
    <s v="Defensive Midfield"/>
    <x v="1"/>
    <x v="7"/>
    <x v="1"/>
    <n v="19.8"/>
    <x v="2"/>
    <x v="12"/>
    <s v="Paris Saint-Germain"/>
    <n v="3"/>
    <n v="0"/>
    <n v="0"/>
    <n v="0"/>
    <x v="7"/>
    <n v="0"/>
    <n v="0"/>
    <n v="2"/>
    <n v="0"/>
    <n v="0"/>
    <n v="1"/>
    <n v="1"/>
  </r>
  <r>
    <n v="377"/>
    <x v="377"/>
    <s v="Centre-Back"/>
    <x v="2"/>
    <x v="2"/>
    <x v="1"/>
    <n v="19.8"/>
    <x v="2"/>
    <x v="49"/>
    <s v="Atalanta BC"/>
    <n v="10"/>
    <n v="0"/>
    <n v="0"/>
    <n v="0"/>
    <x v="7"/>
    <n v="0"/>
    <n v="0"/>
    <n v="0"/>
    <n v="0"/>
    <n v="0"/>
    <n v="3"/>
    <n v="1"/>
  </r>
  <r>
    <n v="378"/>
    <x v="378"/>
    <s v="Attacking Midfield"/>
    <x v="1"/>
    <x v="2"/>
    <x v="1"/>
    <n v="19.8"/>
    <x v="2"/>
    <x v="2"/>
    <s v="Manchester United"/>
    <n v="8"/>
    <n v="2"/>
    <n v="0"/>
    <n v="1"/>
    <x v="11"/>
    <n v="0.375"/>
    <n v="1.893939393939394E-2"/>
    <n v="0"/>
    <n v="0"/>
    <n v="0"/>
    <n v="7"/>
    <n v="1"/>
  </r>
  <r>
    <n v="379"/>
    <x v="379"/>
    <s v="Centre-Forward"/>
    <x v="0"/>
    <x v="4"/>
    <x v="1"/>
    <n v="19.8"/>
    <x v="2"/>
    <x v="2"/>
    <s v="Aston Villa"/>
    <n v="9"/>
    <n v="3"/>
    <n v="0"/>
    <n v="2"/>
    <x v="3"/>
    <n v="0.55555555555555558"/>
    <n v="2.8058361391694726E-2"/>
    <n v="1"/>
    <n v="0"/>
    <n v="0"/>
    <n v="0"/>
    <n v="5"/>
  </r>
  <r>
    <n v="380"/>
    <x v="380"/>
    <s v="Central Midfield"/>
    <x v="1"/>
    <x v="5"/>
    <x v="2"/>
    <n v="19.8"/>
    <x v="2"/>
    <x v="5"/>
    <s v="Everton FC"/>
    <n v="11"/>
    <n v="0"/>
    <n v="0"/>
    <n v="1"/>
    <x v="14"/>
    <n v="9.0909090909090912E-2"/>
    <n v="4.5913682277318639E-3"/>
    <n v="1"/>
    <n v="0"/>
    <n v="0"/>
    <n v="0"/>
    <n v="2"/>
  </r>
  <r>
    <n v="381"/>
    <x v="381"/>
    <s v="Centre-Forward"/>
    <x v="0"/>
    <x v="4"/>
    <x v="1"/>
    <n v="19.8"/>
    <x v="2"/>
    <x v="2"/>
    <s v="Newcastle United"/>
    <n v="7"/>
    <n v="4"/>
    <n v="0"/>
    <n v="0"/>
    <x v="5"/>
    <n v="0.5714285714285714"/>
    <n v="2.8860028860028857E-2"/>
    <n v="3"/>
    <n v="0"/>
    <n v="0"/>
    <n v="0"/>
    <n v="3"/>
  </r>
  <r>
    <n v="382"/>
    <x v="382"/>
    <s v="Defensive Midfield"/>
    <x v="1"/>
    <x v="4"/>
    <x v="1"/>
    <n v="19.8"/>
    <x v="2"/>
    <x v="38"/>
    <s v="Arsenal FC"/>
    <n v="5"/>
    <n v="0"/>
    <n v="0"/>
    <n v="0"/>
    <x v="7"/>
    <n v="0"/>
    <n v="0"/>
    <n v="0"/>
    <n v="0"/>
    <n v="1"/>
    <n v="0"/>
    <n v="2"/>
  </r>
  <r>
    <n v="383"/>
    <x v="383"/>
    <s v="Centre-Forward"/>
    <x v="0"/>
    <x v="5"/>
    <x v="2"/>
    <n v="19.8"/>
    <x v="2"/>
    <x v="0"/>
    <s v="Arsenal FC"/>
    <n v="9"/>
    <n v="3"/>
    <n v="0"/>
    <n v="1"/>
    <x v="5"/>
    <n v="0.44444444444444442"/>
    <n v="2.2446689113355778E-2"/>
    <n v="0"/>
    <n v="0"/>
    <n v="0"/>
    <n v="5"/>
    <n v="3"/>
  </r>
  <r>
    <n v="384"/>
    <x v="384"/>
    <s v="Defensive Midfield"/>
    <x v="1"/>
    <x v="3"/>
    <x v="1"/>
    <n v="18.899999999999999"/>
    <x v="3"/>
    <x v="7"/>
    <s v="Sporting CP"/>
    <n v="18"/>
    <n v="2"/>
    <n v="0"/>
    <n v="0"/>
    <x v="8"/>
    <n v="0.1111111111111111"/>
    <n v="5.8788947677836569E-3"/>
    <n v="5"/>
    <n v="0"/>
    <n v="0"/>
    <n v="2"/>
    <n v="5"/>
  </r>
  <r>
    <n v="385"/>
    <x v="385"/>
    <s v="Centre-Forward"/>
    <x v="0"/>
    <x v="7"/>
    <x v="1"/>
    <n v="18.899999999999999"/>
    <x v="3"/>
    <x v="34"/>
    <s v="RB Leipzig"/>
    <n v="15"/>
    <n v="4"/>
    <n v="0"/>
    <n v="3"/>
    <x v="10"/>
    <n v="0.46666666666666667"/>
    <n v="2.469135802469136E-2"/>
    <n v="2"/>
    <n v="0"/>
    <n v="0"/>
    <n v="8"/>
    <n v="5"/>
  </r>
  <r>
    <n v="386"/>
    <x v="386"/>
    <s v="Attacking Midfield"/>
    <x v="1"/>
    <x v="12"/>
    <x v="0"/>
    <n v="18"/>
    <x v="3"/>
    <x v="12"/>
    <s v="Club Atlético Vélez Sarsfield"/>
    <n v="16"/>
    <n v="4"/>
    <n v="0"/>
    <n v="4"/>
    <x v="12"/>
    <n v="0.5"/>
    <n v="2.7777777777777776E-2"/>
    <n v="0"/>
    <n v="0"/>
    <n v="0"/>
    <n v="1"/>
    <n v="11"/>
  </r>
  <r>
    <n v="387"/>
    <x v="387"/>
    <s v="Centre-Forward"/>
    <x v="0"/>
    <x v="1"/>
    <x v="0"/>
    <n v="18"/>
    <x v="3"/>
    <x v="12"/>
    <s v="Club Atlético River Plate"/>
    <n v="16"/>
    <n v="15"/>
    <n v="0"/>
    <n v="6"/>
    <x v="4"/>
    <n v="1.3125"/>
    <n v="7.2916666666666671E-2"/>
    <n v="1"/>
    <n v="0"/>
    <n v="0"/>
    <n v="3"/>
    <n v="4"/>
  </r>
  <r>
    <n v="388"/>
    <x v="388"/>
    <s v="Attacking Midfield"/>
    <x v="1"/>
    <x v="1"/>
    <x v="0"/>
    <n v="18"/>
    <x v="3"/>
    <x v="0"/>
    <s v="AS Monaco"/>
    <n v="24"/>
    <n v="8"/>
    <n v="0"/>
    <n v="6"/>
    <x v="16"/>
    <n v="0.58333333333333337"/>
    <n v="3.2407407407407413E-2"/>
    <n v="4"/>
    <n v="0"/>
    <n v="0"/>
    <n v="9"/>
    <n v="10"/>
  </r>
  <r>
    <n v="389"/>
    <x v="389"/>
    <s v="Defensive Midfield"/>
    <x v="1"/>
    <x v="13"/>
    <x v="3"/>
    <n v="18"/>
    <x v="3"/>
    <x v="9"/>
    <s v="FC Metz"/>
    <n v="13"/>
    <n v="0"/>
    <n v="0"/>
    <n v="1"/>
    <x v="14"/>
    <n v="7.6923076923076927E-2"/>
    <n v="4.2735042735042739E-3"/>
    <n v="2"/>
    <n v="0"/>
    <n v="0"/>
    <n v="3"/>
    <n v="4"/>
  </r>
  <r>
    <n v="390"/>
    <x v="390"/>
    <s v="Right-Back"/>
    <x v="2"/>
    <x v="0"/>
    <x v="0"/>
    <n v="18"/>
    <x v="3"/>
    <x v="11"/>
    <s v="Sporting CP"/>
    <n v="15"/>
    <n v="2"/>
    <n v="0"/>
    <n v="2"/>
    <x v="5"/>
    <n v="0.26666666666666666"/>
    <n v="1.4814814814814815E-2"/>
    <n v="5"/>
    <n v="0"/>
    <n v="0"/>
    <n v="5"/>
    <n v="6"/>
  </r>
  <r>
    <n v="391"/>
    <x v="391"/>
    <s v="Centre-Forward"/>
    <x v="0"/>
    <x v="0"/>
    <x v="0"/>
    <n v="18"/>
    <x v="3"/>
    <x v="18"/>
    <s v="SL Benfica"/>
    <n v="13"/>
    <n v="8"/>
    <n v="0"/>
    <n v="2"/>
    <x v="13"/>
    <n v="0.76923076923076927"/>
    <n v="4.2735042735042736E-2"/>
    <n v="2"/>
    <n v="0"/>
    <n v="0"/>
    <n v="3"/>
    <n v="8"/>
  </r>
  <r>
    <n v="392"/>
    <x v="392"/>
    <s v="Goalkeeper"/>
    <x v="3"/>
    <x v="1"/>
    <x v="0"/>
    <n v="18"/>
    <x v="3"/>
    <x v="0"/>
    <s v="Leeds United"/>
    <n v="19"/>
    <n v="0"/>
    <n v="0"/>
    <n v="0"/>
    <x v="7"/>
    <n v="0"/>
    <n v="0"/>
    <n v="1"/>
    <n v="0"/>
    <n v="0"/>
    <n v="0"/>
    <n v="0"/>
  </r>
  <r>
    <n v="393"/>
    <x v="393"/>
    <s v="Left Winger"/>
    <x v="0"/>
    <x v="1"/>
    <x v="0"/>
    <n v="18"/>
    <x v="3"/>
    <x v="34"/>
    <s v="UC Sampdoria"/>
    <n v="8"/>
    <n v="0"/>
    <n v="0"/>
    <n v="0"/>
    <x v="7"/>
    <n v="0"/>
    <n v="0"/>
    <n v="1"/>
    <n v="0"/>
    <n v="0"/>
    <n v="2"/>
    <n v="4"/>
  </r>
  <r>
    <n v="394"/>
    <x v="394"/>
    <s v="Centre-Forward"/>
    <x v="0"/>
    <x v="13"/>
    <x v="3"/>
    <n v="18"/>
    <x v="3"/>
    <x v="8"/>
    <s v="Red Bull Salzburg"/>
    <n v="22"/>
    <n v="15"/>
    <n v="0"/>
    <n v="2"/>
    <x v="1"/>
    <n v="0.77272727272727271"/>
    <n v="4.2929292929292928E-2"/>
    <n v="3"/>
    <n v="0"/>
    <n v="0"/>
    <n v="2"/>
    <n v="20"/>
  </r>
  <r>
    <n v="395"/>
    <x v="395"/>
    <s v="Central Midfield"/>
    <x v="1"/>
    <x v="10"/>
    <x v="0"/>
    <n v="18"/>
    <x v="3"/>
    <x v="50"/>
    <s v="Brighton &amp; Hove Albion"/>
    <n v="8"/>
    <n v="2"/>
    <n v="0"/>
    <n v="2"/>
    <x v="5"/>
    <n v="0.5"/>
    <n v="2.7777777777777776E-2"/>
    <n v="1"/>
    <n v="0"/>
    <n v="0"/>
    <n v="4"/>
    <n v="3"/>
  </r>
  <r>
    <n v="396"/>
    <x v="396"/>
    <s v="Centre-Forward"/>
    <x v="0"/>
    <x v="10"/>
    <x v="0"/>
    <n v="18"/>
    <x v="3"/>
    <x v="51"/>
    <s v="Bologna FC 1909"/>
    <n v="12"/>
    <n v="4"/>
    <n v="0"/>
    <n v="4"/>
    <x v="12"/>
    <n v="0.66666666666666663"/>
    <n v="3.7037037037037035E-2"/>
    <n v="0"/>
    <n v="0"/>
    <n v="0"/>
    <n v="2"/>
    <n v="8"/>
  </r>
  <r>
    <n v="397"/>
    <x v="397"/>
    <s v="Attacking Midfield"/>
    <x v="1"/>
    <x v="10"/>
    <x v="0"/>
    <n v="18"/>
    <x v="3"/>
    <x v="2"/>
    <s v="Crystal Palace"/>
    <n v="2"/>
    <n v="0"/>
    <n v="0"/>
    <n v="0"/>
    <x v="7"/>
    <n v="0"/>
    <n v="0"/>
    <n v="0"/>
    <n v="0"/>
    <n v="0"/>
    <n v="0"/>
    <n v="2"/>
  </r>
  <r>
    <n v="398"/>
    <x v="398"/>
    <s v="Centre-Back"/>
    <x v="2"/>
    <x v="12"/>
    <x v="0"/>
    <n v="18"/>
    <x v="3"/>
    <x v="11"/>
    <s v="FC Barcelona"/>
    <n v="13"/>
    <n v="0"/>
    <n v="0"/>
    <n v="0"/>
    <x v="7"/>
    <n v="0"/>
    <n v="0"/>
    <n v="3"/>
    <n v="1"/>
    <n v="1"/>
    <n v="1"/>
    <n v="3"/>
  </r>
  <r>
    <n v="399"/>
    <x v="399"/>
    <s v="Goalkeeper"/>
    <x v="3"/>
    <x v="10"/>
    <x v="0"/>
    <n v="18"/>
    <x v="3"/>
    <x v="2"/>
    <s v="Arsenal FC"/>
    <n v="11"/>
    <n v="0"/>
    <n v="0"/>
    <n v="0"/>
    <x v="7"/>
    <n v="0"/>
    <n v="0"/>
    <n v="0"/>
    <n v="0"/>
    <n v="0"/>
    <n v="0"/>
    <n v="0"/>
  </r>
  <r>
    <n v="400"/>
    <x v="400"/>
    <s v="Defensive Midfield"/>
    <x v="1"/>
    <x v="0"/>
    <x v="0"/>
    <n v="18"/>
    <x v="3"/>
    <x v="11"/>
    <s v="Real Sociedad"/>
    <n v="17"/>
    <n v="0"/>
    <n v="0"/>
    <n v="1"/>
    <x v="14"/>
    <n v="5.8823529411764705E-2"/>
    <n v="3.2679738562091504E-3"/>
    <n v="3"/>
    <n v="0"/>
    <n v="0"/>
    <n v="3"/>
    <n v="2"/>
  </r>
  <r>
    <n v="401"/>
    <x v="401"/>
    <s v="Right Winger"/>
    <x v="0"/>
    <x v="0"/>
    <x v="0"/>
    <n v="18"/>
    <x v="3"/>
    <x v="20"/>
    <s v="Villarreal CF"/>
    <n v="7"/>
    <n v="1"/>
    <n v="0"/>
    <n v="0"/>
    <x v="14"/>
    <n v="0.14285714285714285"/>
    <n v="7.9365079365079361E-3"/>
    <n v="1"/>
    <n v="0"/>
    <n v="0"/>
    <n v="7"/>
    <n v="0"/>
  </r>
  <r>
    <n v="402"/>
    <x v="402"/>
    <s v="Right-Back"/>
    <x v="2"/>
    <x v="10"/>
    <x v="0"/>
    <n v="18"/>
    <x v="3"/>
    <x v="5"/>
    <s v="Shakhtar Donetsk"/>
    <n v="20"/>
    <n v="0"/>
    <n v="0"/>
    <n v="3"/>
    <x v="11"/>
    <n v="0.15"/>
    <n v="8.3333333333333332E-3"/>
    <n v="1"/>
    <n v="0"/>
    <n v="0"/>
    <n v="1"/>
    <n v="1"/>
  </r>
  <r>
    <n v="403"/>
    <x v="403"/>
    <s v="Left Winger"/>
    <x v="0"/>
    <x v="0"/>
    <x v="0"/>
    <n v="18"/>
    <x v="3"/>
    <x v="52"/>
    <s v="Shakhtar Donetsk"/>
    <n v="20"/>
    <n v="3"/>
    <n v="0"/>
    <n v="2"/>
    <x v="3"/>
    <n v="0.25"/>
    <n v="1.3888888888888888E-2"/>
    <n v="1"/>
    <n v="0"/>
    <n v="0"/>
    <n v="6"/>
    <n v="11"/>
  </r>
  <r>
    <n v="404"/>
    <x v="404"/>
    <s v="Centre-Back"/>
    <x v="2"/>
    <x v="1"/>
    <x v="0"/>
    <n v="18"/>
    <x v="3"/>
    <x v="2"/>
    <s v="Crystal Palace"/>
    <n v="17"/>
    <n v="1"/>
    <n v="0"/>
    <n v="0"/>
    <x v="14"/>
    <n v="5.8823529411764705E-2"/>
    <n v="3.2679738562091504E-3"/>
    <n v="1"/>
    <n v="0"/>
    <n v="0"/>
    <n v="1"/>
    <n v="0"/>
  </r>
  <r>
    <n v="405"/>
    <x v="405"/>
    <s v="Attacking Midfield"/>
    <x v="1"/>
    <x v="1"/>
    <x v="0"/>
    <n v="18"/>
    <x v="3"/>
    <x v="23"/>
    <s v="US Sassuolo"/>
    <n v="11"/>
    <n v="1"/>
    <n v="0"/>
    <n v="2"/>
    <x v="11"/>
    <n v="0.27272727272727271"/>
    <n v="1.515151515151515E-2"/>
    <n v="1"/>
    <n v="0"/>
    <n v="0"/>
    <n v="7"/>
    <n v="4"/>
  </r>
  <r>
    <n v="406"/>
    <x v="406"/>
    <s v="Attacking Midfield"/>
    <x v="1"/>
    <x v="6"/>
    <x v="1"/>
    <n v="18"/>
    <x v="3"/>
    <x v="26"/>
    <s v="LOSC Lille"/>
    <n v="15"/>
    <n v="1"/>
    <n v="0"/>
    <n v="1"/>
    <x v="8"/>
    <n v="0.13333333333333333"/>
    <n v="7.4074074074074077E-3"/>
    <n v="3"/>
    <n v="0"/>
    <n v="0"/>
    <n v="11"/>
    <n v="4"/>
  </r>
  <r>
    <n v="407"/>
    <x v="407"/>
    <s v="Right Winger"/>
    <x v="0"/>
    <x v="1"/>
    <x v="0"/>
    <n v="18"/>
    <x v="3"/>
    <x v="5"/>
    <s v="Shakhtar Donetsk"/>
    <n v="22"/>
    <n v="7"/>
    <n v="0"/>
    <n v="2"/>
    <x v="2"/>
    <n v="0.40909090909090912"/>
    <n v="2.2727272727272728E-2"/>
    <n v="4"/>
    <n v="0"/>
    <n v="0"/>
    <n v="7"/>
    <n v="11"/>
  </r>
  <r>
    <n v="408"/>
    <x v="408"/>
    <s v="Attacking Midfield"/>
    <x v="1"/>
    <x v="11"/>
    <x v="1"/>
    <n v="18"/>
    <x v="3"/>
    <x v="11"/>
    <s v="West Ham United"/>
    <n v="17"/>
    <n v="4"/>
    <n v="0"/>
    <n v="2"/>
    <x v="6"/>
    <n v="0.35294117647058826"/>
    <n v="1.9607843137254902E-2"/>
    <n v="3"/>
    <n v="0"/>
    <n v="0"/>
    <n v="5"/>
    <n v="4"/>
  </r>
  <r>
    <n v="409"/>
    <x v="409"/>
    <s v="Left-Back"/>
    <x v="2"/>
    <x v="11"/>
    <x v="1"/>
    <n v="18"/>
    <x v="3"/>
    <x v="11"/>
    <s v="Villarreal CF"/>
    <n v="10"/>
    <n v="0"/>
    <n v="0"/>
    <n v="2"/>
    <x v="8"/>
    <n v="0.2"/>
    <n v="1.1111111111111112E-2"/>
    <n v="2"/>
    <n v="0"/>
    <n v="0"/>
    <n v="2"/>
    <n v="7"/>
  </r>
  <r>
    <n v="410"/>
    <x v="410"/>
    <s v="Centre-Back"/>
    <x v="2"/>
    <x v="6"/>
    <x v="1"/>
    <n v="18"/>
    <x v="3"/>
    <x v="11"/>
    <s v="Real Sociedad"/>
    <n v="11"/>
    <n v="0"/>
    <n v="0"/>
    <n v="2"/>
    <x v="8"/>
    <n v="0.18181818181818182"/>
    <n v="1.0101010101010102E-2"/>
    <n v="2"/>
    <n v="0"/>
    <n v="0"/>
    <n v="6"/>
    <n v="0"/>
  </r>
  <r>
    <n v="411"/>
    <x v="411"/>
    <s v="Centre-Back"/>
    <x v="2"/>
    <x v="11"/>
    <x v="1"/>
    <n v="18"/>
    <x v="3"/>
    <x v="2"/>
    <s v="Everton FC"/>
    <n v="6"/>
    <n v="0"/>
    <n v="0"/>
    <n v="0"/>
    <x v="7"/>
    <n v="0"/>
    <n v="0"/>
    <n v="0"/>
    <n v="0"/>
    <n v="1"/>
    <n v="1"/>
    <n v="0"/>
  </r>
  <r>
    <n v="412"/>
    <x v="412"/>
    <s v="Centre-Forward"/>
    <x v="0"/>
    <x v="11"/>
    <x v="1"/>
    <n v="18"/>
    <x v="3"/>
    <x v="19"/>
    <s v="Southampton FC"/>
    <n v="10"/>
    <n v="2"/>
    <n v="0"/>
    <n v="1"/>
    <x v="11"/>
    <n v="0.3"/>
    <n v="1.6666666666666666E-2"/>
    <n v="0"/>
    <n v="0"/>
    <n v="0"/>
    <n v="2"/>
    <n v="4"/>
  </r>
  <r>
    <n v="413"/>
    <x v="413"/>
    <s v="Central Midfield"/>
    <x v="1"/>
    <x v="6"/>
    <x v="1"/>
    <n v="18"/>
    <x v="3"/>
    <x v="5"/>
    <s v="Olympique Marseille"/>
    <n v="14"/>
    <n v="1"/>
    <n v="0"/>
    <n v="2"/>
    <x v="11"/>
    <n v="0.21428571428571427"/>
    <n v="1.1904761904761904E-2"/>
    <n v="0"/>
    <n v="0"/>
    <n v="0"/>
    <n v="4"/>
    <n v="8"/>
  </r>
  <r>
    <n v="414"/>
    <x v="414"/>
    <s v="Defensive Midfield"/>
    <x v="1"/>
    <x v="0"/>
    <x v="0"/>
    <n v="18"/>
    <x v="3"/>
    <x v="25"/>
    <s v="RB Leipzig"/>
    <n v="13"/>
    <n v="0"/>
    <n v="0"/>
    <n v="0"/>
    <x v="7"/>
    <n v="0"/>
    <n v="0"/>
    <n v="5"/>
    <n v="0"/>
    <n v="0"/>
    <n v="3"/>
    <n v="4"/>
  </r>
  <r>
    <n v="415"/>
    <x v="415"/>
    <s v="Attacking Midfield"/>
    <x v="1"/>
    <x v="6"/>
    <x v="1"/>
    <n v="18"/>
    <x v="3"/>
    <x v="15"/>
    <s v="Atalanta BC"/>
    <n v="9"/>
    <n v="1"/>
    <n v="0"/>
    <n v="0"/>
    <x v="14"/>
    <n v="0.1111111111111111"/>
    <n v="6.1728395061728392E-3"/>
    <n v="0"/>
    <n v="0"/>
    <n v="0"/>
    <n v="2"/>
    <n v="6"/>
  </r>
  <r>
    <n v="416"/>
    <x v="416"/>
    <s v="Right-Back"/>
    <x v="2"/>
    <x v="10"/>
    <x v="0"/>
    <n v="18"/>
    <x v="3"/>
    <x v="44"/>
    <s v="Arsenal FC"/>
    <n v="11"/>
    <n v="0"/>
    <n v="1"/>
    <n v="0"/>
    <x v="7"/>
    <n v="0"/>
    <n v="0"/>
    <n v="1"/>
    <n v="0"/>
    <n v="0"/>
    <n v="1"/>
    <n v="2"/>
  </r>
  <r>
    <n v="417"/>
    <x v="417"/>
    <s v="Attacking Midfield"/>
    <x v="1"/>
    <x v="10"/>
    <x v="0"/>
    <n v="18"/>
    <x v="3"/>
    <x v="0"/>
    <s v="Olympique Lyon"/>
    <n v="0"/>
    <n v="0"/>
    <n v="0"/>
    <n v="0"/>
    <x v="7"/>
    <n v="0"/>
    <n v="0"/>
    <n v="0"/>
    <n v="0"/>
    <n v="0"/>
    <n v="0"/>
    <n v="0"/>
  </r>
  <r>
    <n v="418"/>
    <x v="418"/>
    <s v="Central Midfield"/>
    <x v="1"/>
    <x v="11"/>
    <x v="1"/>
    <n v="18"/>
    <x v="3"/>
    <x v="11"/>
    <s v="Real Madrid"/>
    <n v="1"/>
    <n v="0"/>
    <n v="0"/>
    <n v="0"/>
    <x v="7"/>
    <n v="0"/>
    <n v="0"/>
    <n v="0"/>
    <n v="0"/>
    <n v="0"/>
    <n v="0"/>
    <n v="1"/>
  </r>
  <r>
    <n v="419"/>
    <x v="419"/>
    <s v="Right Midfield"/>
    <x v="1"/>
    <x v="11"/>
    <x v="1"/>
    <n v="18"/>
    <x v="3"/>
    <x v="18"/>
    <s v="Cagliari Calcio"/>
    <n v="11"/>
    <n v="0"/>
    <n v="0"/>
    <n v="1"/>
    <x v="14"/>
    <n v="9.0909090909090912E-2"/>
    <n v="5.0505050505050509E-3"/>
    <n v="3"/>
    <n v="0"/>
    <n v="0"/>
    <n v="1"/>
    <n v="1"/>
  </r>
  <r>
    <n v="420"/>
    <x v="420"/>
    <s v="Central Midfield"/>
    <x v="1"/>
    <x v="6"/>
    <x v="1"/>
    <n v="18"/>
    <x v="3"/>
    <x v="15"/>
    <s v="ACF Fiorentina"/>
    <n v="9"/>
    <n v="0"/>
    <n v="0"/>
    <n v="1"/>
    <x v="14"/>
    <n v="0.1111111111111111"/>
    <n v="6.1728395061728392E-3"/>
    <n v="2"/>
    <n v="0"/>
    <n v="0"/>
    <n v="4"/>
    <n v="5"/>
  </r>
  <r>
    <n v="421"/>
    <x v="421"/>
    <s v="Centre-Forward"/>
    <x v="0"/>
    <x v="11"/>
    <x v="1"/>
    <n v="18"/>
    <x v="3"/>
    <x v="20"/>
    <s v="Leicester City"/>
    <n v="16"/>
    <n v="3"/>
    <n v="0"/>
    <n v="5"/>
    <x v="12"/>
    <n v="0.5"/>
    <n v="2.7777777777777776E-2"/>
    <n v="1"/>
    <n v="0"/>
    <n v="0"/>
    <n v="8"/>
    <n v="4"/>
  </r>
  <r>
    <n v="422"/>
    <x v="422"/>
    <s v="Central Midfield"/>
    <x v="1"/>
    <x v="3"/>
    <x v="1"/>
    <n v="18"/>
    <x v="3"/>
    <x v="18"/>
    <s v="Getafe CF"/>
    <n v="10"/>
    <n v="0"/>
    <n v="0"/>
    <n v="0"/>
    <x v="7"/>
    <n v="0"/>
    <n v="0"/>
    <n v="3"/>
    <n v="0"/>
    <n v="0"/>
    <n v="0"/>
    <n v="2"/>
  </r>
  <r>
    <n v="423"/>
    <x v="423"/>
    <s v="Centre-Back"/>
    <x v="2"/>
    <x v="7"/>
    <x v="1"/>
    <n v="18"/>
    <x v="3"/>
    <x v="36"/>
    <s v="Everton FC"/>
    <n v="6"/>
    <n v="0"/>
    <n v="0"/>
    <n v="0"/>
    <x v="7"/>
    <n v="0"/>
    <n v="0"/>
    <n v="1"/>
    <n v="0"/>
    <n v="0"/>
    <n v="1"/>
    <n v="0"/>
  </r>
  <r>
    <n v="424"/>
    <x v="424"/>
    <s v="Left Midfield"/>
    <x v="1"/>
    <x v="10"/>
    <x v="0"/>
    <n v="18"/>
    <x v="3"/>
    <x v="11"/>
    <s v="Brighton &amp; Hove Albion"/>
    <n v="11"/>
    <n v="0"/>
    <n v="0"/>
    <n v="1"/>
    <x v="14"/>
    <n v="9.0909090909090912E-2"/>
    <n v="5.0505050505050509E-3"/>
    <n v="2"/>
    <n v="0"/>
    <n v="0"/>
    <n v="3"/>
    <n v="2"/>
  </r>
  <r>
    <n v="425"/>
    <x v="425"/>
    <s v="Goalkeeper"/>
    <x v="3"/>
    <x v="6"/>
    <x v="1"/>
    <n v="18"/>
    <x v="3"/>
    <x v="11"/>
    <s v="Athletic Bilbao"/>
    <n v="11"/>
    <n v="0"/>
    <n v="0"/>
    <n v="0"/>
    <x v="7"/>
    <n v="0"/>
    <n v="0"/>
    <n v="1"/>
    <n v="0"/>
    <n v="0"/>
    <n v="0"/>
    <n v="1"/>
  </r>
  <r>
    <n v="426"/>
    <x v="426"/>
    <s v="Centre-Forward"/>
    <x v="0"/>
    <x v="10"/>
    <x v="0"/>
    <n v="18"/>
    <x v="3"/>
    <x v="16"/>
    <s v="Real Madrid"/>
    <n v="9"/>
    <n v="2"/>
    <n v="0"/>
    <n v="1"/>
    <x v="11"/>
    <n v="0.33333333333333331"/>
    <n v="1.8518518518518517E-2"/>
    <n v="1"/>
    <n v="0"/>
    <n v="0"/>
    <n v="7"/>
    <n v="1"/>
  </r>
  <r>
    <n v="427"/>
    <x v="427"/>
    <s v="Left-Back"/>
    <x v="2"/>
    <x v="2"/>
    <x v="1"/>
    <n v="18"/>
    <x v="3"/>
    <x v="5"/>
    <s v="Manchester United"/>
    <n v="3"/>
    <n v="1"/>
    <n v="0"/>
    <n v="0"/>
    <x v="14"/>
    <n v="0.33333333333333331"/>
    <n v="1.8518518518518517E-2"/>
    <n v="1"/>
    <n v="0"/>
    <n v="0"/>
    <n v="1"/>
    <n v="2"/>
  </r>
  <r>
    <n v="428"/>
    <x v="428"/>
    <s v="Centre-Back"/>
    <x v="2"/>
    <x v="3"/>
    <x v="1"/>
    <n v="18"/>
    <x v="3"/>
    <x v="11"/>
    <s v="Athletic Bilbao"/>
    <n v="3"/>
    <n v="0"/>
    <n v="0"/>
    <n v="0"/>
    <x v="7"/>
    <n v="0"/>
    <n v="0"/>
    <n v="2"/>
    <n v="0"/>
    <n v="0"/>
    <n v="0"/>
    <n v="0"/>
  </r>
  <r>
    <n v="429"/>
    <x v="429"/>
    <s v="Right-Back"/>
    <x v="2"/>
    <x v="6"/>
    <x v="1"/>
    <n v="18"/>
    <x v="3"/>
    <x v="26"/>
    <s v="LOSC Lille"/>
    <n v="14"/>
    <n v="0"/>
    <n v="0"/>
    <n v="0"/>
    <x v="7"/>
    <n v="0"/>
    <n v="0"/>
    <n v="4"/>
    <n v="0"/>
    <n v="0"/>
    <n v="1"/>
    <n v="1"/>
  </r>
  <r>
    <n v="430"/>
    <x v="430"/>
    <s v="Defensive Midfield"/>
    <x v="1"/>
    <x v="11"/>
    <x v="1"/>
    <n v="18"/>
    <x v="3"/>
    <x v="2"/>
    <s v="Tottenham Hotspur"/>
    <n v="7"/>
    <n v="0"/>
    <n v="0"/>
    <n v="1"/>
    <x v="14"/>
    <n v="0.14285714285714285"/>
    <n v="7.9365079365079361E-3"/>
    <n v="1"/>
    <n v="0"/>
    <n v="0"/>
    <n v="2"/>
    <n v="1"/>
  </r>
  <r>
    <n v="431"/>
    <x v="431"/>
    <s v="Centre-Back"/>
    <x v="2"/>
    <x v="2"/>
    <x v="1"/>
    <n v="18"/>
    <x v="3"/>
    <x v="11"/>
    <s v="Leeds United"/>
    <n v="9"/>
    <n v="1"/>
    <n v="0"/>
    <n v="0"/>
    <x v="14"/>
    <n v="0.1111111111111111"/>
    <n v="6.1728395061728392E-3"/>
    <n v="2"/>
    <n v="0"/>
    <n v="0"/>
    <n v="0"/>
    <n v="4"/>
  </r>
  <r>
    <n v="432"/>
    <x v="432"/>
    <s v="Goalkeeper"/>
    <x v="3"/>
    <x v="7"/>
    <x v="1"/>
    <n v="18"/>
    <x v="3"/>
    <x v="12"/>
    <s v="Atalanta BC"/>
    <n v="15"/>
    <n v="0"/>
    <n v="0"/>
    <n v="0"/>
    <x v="7"/>
    <n v="0"/>
    <n v="0"/>
    <n v="1"/>
    <n v="0"/>
    <n v="0"/>
    <n v="0"/>
    <n v="0"/>
  </r>
  <r>
    <n v="433"/>
    <x v="433"/>
    <s v="Centre-Forward"/>
    <x v="0"/>
    <x v="11"/>
    <x v="1"/>
    <n v="18"/>
    <x v="3"/>
    <x v="0"/>
    <s v="Olympique Lyon"/>
    <n v="6"/>
    <n v="4"/>
    <n v="0"/>
    <n v="1"/>
    <x v="3"/>
    <n v="0.83333333333333337"/>
    <n v="4.6296296296296301E-2"/>
    <n v="0"/>
    <n v="0"/>
    <n v="0"/>
    <n v="1"/>
    <n v="1"/>
  </r>
  <r>
    <n v="434"/>
    <x v="434"/>
    <s v="Central Midfield"/>
    <x v="1"/>
    <x v="2"/>
    <x v="1"/>
    <n v="18"/>
    <x v="3"/>
    <x v="7"/>
    <s v="Everton FC"/>
    <n v="5"/>
    <n v="0"/>
    <n v="0"/>
    <n v="1"/>
    <x v="14"/>
    <n v="0.2"/>
    <n v="1.1111111111111112E-2"/>
    <n v="1"/>
    <n v="0"/>
    <n v="0"/>
    <n v="4"/>
    <n v="1"/>
  </r>
  <r>
    <n v="435"/>
    <x v="435"/>
    <s v="Centre-Forward"/>
    <x v="0"/>
    <x v="11"/>
    <x v="1"/>
    <n v="18"/>
    <x v="3"/>
    <x v="0"/>
    <s v="Brighton &amp; Hove Albion"/>
    <n v="11"/>
    <n v="4"/>
    <n v="0"/>
    <n v="0"/>
    <x v="5"/>
    <n v="0.36363636363636365"/>
    <n v="2.0202020202020204E-2"/>
    <n v="3"/>
    <n v="0"/>
    <n v="0"/>
    <n v="2"/>
    <n v="2"/>
  </r>
  <r>
    <n v="436"/>
    <x v="436"/>
    <s v="Left Winger"/>
    <x v="0"/>
    <x v="6"/>
    <x v="1"/>
    <n v="18"/>
    <x v="3"/>
    <x v="23"/>
    <s v="US Sassuolo"/>
    <n v="8"/>
    <n v="0"/>
    <n v="0"/>
    <n v="3"/>
    <x v="11"/>
    <n v="0.375"/>
    <n v="2.0833333333333332E-2"/>
    <n v="0"/>
    <n v="0"/>
    <n v="0"/>
    <n v="1"/>
    <n v="5"/>
  </r>
  <r>
    <n v="437"/>
    <x v="437"/>
    <s v="Goalkeeper"/>
    <x v="3"/>
    <x v="3"/>
    <x v="1"/>
    <n v="18"/>
    <x v="3"/>
    <x v="11"/>
    <s v="Real Sociedad"/>
    <n v="15"/>
    <n v="0"/>
    <n v="0"/>
    <n v="0"/>
    <x v="7"/>
    <n v="0"/>
    <n v="0"/>
    <n v="0"/>
    <n v="0"/>
    <n v="0"/>
    <n v="0"/>
    <n v="0"/>
  </r>
  <r>
    <n v="438"/>
    <x v="438"/>
    <s v="Central Midfield"/>
    <x v="1"/>
    <x v="3"/>
    <x v="1"/>
    <n v="18"/>
    <x v="3"/>
    <x v="15"/>
    <s v="AS Roma"/>
    <n v="18"/>
    <n v="2"/>
    <n v="0"/>
    <n v="1"/>
    <x v="11"/>
    <n v="0.16666666666666666"/>
    <n v="9.2592592592592587E-3"/>
    <n v="4"/>
    <n v="0"/>
    <n v="0"/>
    <n v="3"/>
    <n v="0"/>
  </r>
  <r>
    <n v="439"/>
    <x v="439"/>
    <s v="Centre-Back"/>
    <x v="2"/>
    <x v="3"/>
    <x v="1"/>
    <n v="18"/>
    <x v="3"/>
    <x v="15"/>
    <s v="AC Milan"/>
    <n v="11"/>
    <n v="0"/>
    <n v="0"/>
    <n v="0"/>
    <x v="7"/>
    <n v="0"/>
    <n v="0"/>
    <n v="1"/>
    <n v="0"/>
    <n v="0"/>
    <n v="3"/>
    <n v="1"/>
  </r>
  <r>
    <n v="440"/>
    <x v="440"/>
    <s v="Defensive Midfield"/>
    <x v="1"/>
    <x v="3"/>
    <x v="1"/>
    <n v="18"/>
    <x v="3"/>
    <x v="8"/>
    <s v="SL Benfica"/>
    <n v="18"/>
    <n v="2"/>
    <n v="0"/>
    <n v="4"/>
    <x v="6"/>
    <n v="0.33333333333333331"/>
    <n v="1.8518518518518517E-2"/>
    <n v="4"/>
    <n v="0"/>
    <n v="0"/>
    <n v="4"/>
    <n v="3"/>
  </r>
  <r>
    <n v="441"/>
    <x v="441"/>
    <s v="Centre-Forward"/>
    <x v="0"/>
    <x v="7"/>
    <x v="1"/>
    <n v="18"/>
    <x v="3"/>
    <x v="22"/>
    <s v="Olympique Marseille"/>
    <n v="9"/>
    <n v="2"/>
    <n v="0"/>
    <n v="0"/>
    <x v="8"/>
    <n v="0.22222222222222221"/>
    <n v="1.2345679012345678E-2"/>
    <n v="0"/>
    <n v="0"/>
    <n v="0"/>
    <n v="3"/>
    <n v="3"/>
  </r>
  <r>
    <n v="442"/>
    <x v="442"/>
    <s v="Right-Back"/>
    <x v="2"/>
    <x v="3"/>
    <x v="1"/>
    <n v="18"/>
    <x v="3"/>
    <x v="11"/>
    <s v="Real Betis Balompié"/>
    <n v="8"/>
    <n v="0"/>
    <n v="1"/>
    <n v="1"/>
    <x v="14"/>
    <n v="0.125"/>
    <n v="6.9444444444444441E-3"/>
    <n v="0"/>
    <n v="0"/>
    <n v="0"/>
    <n v="0"/>
    <n v="0"/>
  </r>
  <r>
    <n v="443"/>
    <x v="443"/>
    <s v="Attacking Midfield"/>
    <x v="1"/>
    <x v="11"/>
    <x v="1"/>
    <n v="18"/>
    <x v="3"/>
    <x v="8"/>
    <s v="Borussia Dortmund"/>
    <n v="13"/>
    <n v="2"/>
    <n v="0"/>
    <n v="3"/>
    <x v="3"/>
    <n v="0.38461538461538464"/>
    <n v="2.1367521367521368E-2"/>
    <n v="0"/>
    <n v="0"/>
    <n v="0"/>
    <n v="3"/>
    <n v="7"/>
  </r>
  <r>
    <n v="444"/>
    <x v="444"/>
    <s v="Defensive Midfield"/>
    <x v="1"/>
    <x v="7"/>
    <x v="1"/>
    <n v="18"/>
    <x v="3"/>
    <x v="0"/>
    <s v="AC Milan"/>
    <n v="6"/>
    <n v="0"/>
    <n v="0"/>
    <n v="0"/>
    <x v="7"/>
    <n v="0"/>
    <n v="0"/>
    <n v="2"/>
    <n v="0"/>
    <n v="0"/>
    <n v="6"/>
    <n v="1"/>
  </r>
  <r>
    <n v="445"/>
    <x v="445"/>
    <s v="Left Midfield"/>
    <x v="1"/>
    <x v="4"/>
    <x v="1"/>
    <n v="18"/>
    <x v="3"/>
    <x v="16"/>
    <s v="Eintracht Frankfurt"/>
    <n v="13"/>
    <n v="2"/>
    <n v="0"/>
    <n v="5"/>
    <x v="10"/>
    <n v="0.53846153846153844"/>
    <n v="2.9914529914529912E-2"/>
    <n v="1"/>
    <n v="0"/>
    <n v="0"/>
    <n v="1"/>
    <n v="2"/>
  </r>
  <r>
    <n v="446"/>
    <x v="446"/>
    <s v="Right-Back"/>
    <x v="2"/>
    <x v="5"/>
    <x v="2"/>
    <n v="18"/>
    <x v="3"/>
    <x v="5"/>
    <s v="Juventus FC"/>
    <n v="13"/>
    <n v="0"/>
    <n v="0"/>
    <n v="1"/>
    <x v="14"/>
    <n v="7.6923076923076927E-2"/>
    <n v="4.2735042735042739E-3"/>
    <n v="4"/>
    <n v="0"/>
    <n v="0"/>
    <n v="0"/>
    <n v="1"/>
  </r>
  <r>
    <n v="447"/>
    <x v="447"/>
    <s v="Right Winger"/>
    <x v="0"/>
    <x v="3"/>
    <x v="1"/>
    <n v="18"/>
    <x v="3"/>
    <x v="31"/>
    <s v="Aston Villa"/>
    <n v="5"/>
    <n v="0"/>
    <n v="0"/>
    <n v="0"/>
    <x v="7"/>
    <n v="0"/>
    <n v="0"/>
    <n v="0"/>
    <n v="0"/>
    <n v="0"/>
    <n v="4"/>
    <n v="1"/>
  </r>
  <r>
    <n v="448"/>
    <x v="448"/>
    <s v="Right Winger"/>
    <x v="0"/>
    <x v="4"/>
    <x v="1"/>
    <n v="18"/>
    <x v="3"/>
    <x v="12"/>
    <s v="Sevilla FC"/>
    <n v="16"/>
    <n v="4"/>
    <n v="0"/>
    <n v="2"/>
    <x v="6"/>
    <n v="0.375"/>
    <n v="2.0833333333333332E-2"/>
    <n v="5"/>
    <n v="0"/>
    <n v="0"/>
    <n v="11"/>
    <n v="3"/>
  </r>
  <r>
    <n v="449"/>
    <x v="449"/>
    <s v="Left Winger"/>
    <x v="0"/>
    <x v="5"/>
    <x v="2"/>
    <n v="18"/>
    <x v="3"/>
    <x v="32"/>
    <s v="RB Leipzig"/>
    <n v="17"/>
    <n v="4"/>
    <n v="0"/>
    <n v="1"/>
    <x v="3"/>
    <n v="0.29411764705882354"/>
    <n v="1.6339869281045753E-2"/>
    <n v="0"/>
    <n v="0"/>
    <n v="0"/>
    <n v="6"/>
    <n v="7"/>
  </r>
  <r>
    <n v="450"/>
    <x v="450"/>
    <s v="Right Winger"/>
    <x v="0"/>
    <x v="4"/>
    <x v="1"/>
    <n v="18"/>
    <x v="3"/>
    <x v="11"/>
    <s v="Real Sociedad"/>
    <n v="16"/>
    <n v="0"/>
    <n v="0"/>
    <n v="1"/>
    <x v="14"/>
    <n v="6.25E-2"/>
    <n v="3.472222222222222E-3"/>
    <n v="2"/>
    <n v="0"/>
    <n v="0"/>
    <n v="6"/>
    <n v="9"/>
  </r>
  <r>
    <n v="451"/>
    <x v="451"/>
    <s v="Right-Back"/>
    <x v="2"/>
    <x v="16"/>
    <x v="2"/>
    <n v="18"/>
    <x v="3"/>
    <x v="2"/>
    <s v="Atlético de Madrid"/>
    <n v="15"/>
    <n v="0"/>
    <n v="0"/>
    <n v="0"/>
    <x v="7"/>
    <n v="0"/>
    <n v="0"/>
    <n v="1"/>
    <n v="0"/>
    <n v="0"/>
    <n v="3"/>
    <n v="6"/>
  </r>
  <r>
    <n v="452"/>
    <x v="452"/>
    <s v="Attacking Midfield"/>
    <x v="1"/>
    <x v="5"/>
    <x v="2"/>
    <n v="18"/>
    <x v="3"/>
    <x v="36"/>
    <s v="Al-Rayyan SC"/>
    <n v="3"/>
    <n v="1"/>
    <n v="0"/>
    <n v="1"/>
    <x v="8"/>
    <n v="0.66666666666666663"/>
    <n v="3.7037037037037035E-2"/>
    <n v="0"/>
    <n v="0"/>
    <n v="0"/>
    <n v="0"/>
    <n v="1"/>
  </r>
  <r>
    <n v="453"/>
    <x v="453"/>
    <s v="Left Winger"/>
    <x v="0"/>
    <x v="2"/>
    <x v="1"/>
    <n v="18"/>
    <x v="3"/>
    <x v="8"/>
    <s v="Paris Saint-Germain"/>
    <n v="14"/>
    <n v="2"/>
    <n v="0"/>
    <n v="2"/>
    <x v="5"/>
    <n v="0.2857142857142857"/>
    <n v="1.5873015873015872E-2"/>
    <n v="1"/>
    <n v="0"/>
    <n v="0"/>
    <n v="8"/>
    <n v="5"/>
  </r>
  <r>
    <n v="454"/>
    <x v="454"/>
    <s v="Attacking Midfield"/>
    <x v="1"/>
    <x v="4"/>
    <x v="1"/>
    <n v="18"/>
    <x v="3"/>
    <x v="5"/>
    <s v="FC Barcelona"/>
    <n v="11"/>
    <n v="1"/>
    <n v="0"/>
    <n v="0"/>
    <x v="14"/>
    <n v="9.0909090909090912E-2"/>
    <n v="5.0505050505050509E-3"/>
    <n v="1"/>
    <n v="0"/>
    <n v="0"/>
    <n v="7"/>
    <n v="4"/>
  </r>
  <r>
    <n v="455"/>
    <x v="455"/>
    <s v="Left-Back"/>
    <x v="2"/>
    <x v="5"/>
    <x v="2"/>
    <n v="18"/>
    <x v="3"/>
    <x v="5"/>
    <s v="Juventus FC"/>
    <n v="15"/>
    <n v="1"/>
    <n v="0"/>
    <n v="1"/>
    <x v="8"/>
    <n v="0.13333333333333333"/>
    <n v="7.4074074074074077E-3"/>
    <n v="1"/>
    <n v="0"/>
    <n v="0"/>
    <n v="3"/>
    <n v="3"/>
  </r>
  <r>
    <n v="456"/>
    <x v="456"/>
    <s v="Attacking Midfield"/>
    <x v="1"/>
    <x v="5"/>
    <x v="2"/>
    <n v="18"/>
    <x v="3"/>
    <x v="11"/>
    <s v="Real Betis Balompié"/>
    <n v="15"/>
    <n v="1"/>
    <n v="0"/>
    <n v="3"/>
    <x v="5"/>
    <n v="0.26666666666666666"/>
    <n v="1.4814814814814815E-2"/>
    <n v="1"/>
    <n v="0"/>
    <n v="0"/>
    <n v="3"/>
    <n v="7"/>
  </r>
  <r>
    <n v="457"/>
    <x v="457"/>
    <s v="Central Midfield"/>
    <x v="1"/>
    <x v="16"/>
    <x v="2"/>
    <n v="18"/>
    <x v="3"/>
    <x v="2"/>
    <s v="Liverpool FC"/>
    <n v="15"/>
    <n v="2"/>
    <n v="0"/>
    <n v="2"/>
    <x v="5"/>
    <n v="0.26666666666666666"/>
    <n v="1.4814814814814815E-2"/>
    <n v="1"/>
    <n v="0"/>
    <n v="0"/>
    <n v="2"/>
    <n v="4"/>
  </r>
  <r>
    <n v="458"/>
    <x v="458"/>
    <s v="Right Winger"/>
    <x v="0"/>
    <x v="14"/>
    <x v="2"/>
    <n v="18"/>
    <x v="3"/>
    <x v="12"/>
    <s v="Paris Saint-Germain"/>
    <n v="9"/>
    <n v="2"/>
    <n v="0"/>
    <n v="3"/>
    <x v="3"/>
    <n v="0.55555555555555558"/>
    <n v="3.0864197530864199E-2"/>
    <n v="1"/>
    <n v="0"/>
    <n v="0"/>
    <n v="2"/>
    <n v="6"/>
  </r>
  <r>
    <n v="459"/>
    <x v="459"/>
    <s v="Centre-Back"/>
    <x v="2"/>
    <x v="13"/>
    <x v="3"/>
    <n v="17.100000000000001"/>
    <x v="3"/>
    <x v="28"/>
    <s v="RB Leipzig"/>
    <n v="15"/>
    <n v="0"/>
    <n v="0"/>
    <n v="2"/>
    <x v="8"/>
    <n v="0.13333333333333333"/>
    <n v="7.7972709551656916E-3"/>
    <n v="2"/>
    <n v="0"/>
    <n v="0"/>
    <n v="5"/>
    <n v="3"/>
  </r>
  <r>
    <n v="460"/>
    <x v="460"/>
    <s v="Right-Back"/>
    <x v="2"/>
    <x v="6"/>
    <x v="1"/>
    <n v="17.100000000000001"/>
    <x v="3"/>
    <x v="34"/>
    <s v="Atalanta BC"/>
    <n v="14"/>
    <n v="0"/>
    <n v="0"/>
    <n v="0"/>
    <x v="7"/>
    <n v="0"/>
    <n v="0"/>
    <n v="2"/>
    <n v="0"/>
    <n v="0"/>
    <n v="3"/>
    <n v="3"/>
  </r>
  <r>
    <n v="461"/>
    <x v="461"/>
    <s v="Central Midfield"/>
    <x v="1"/>
    <x v="7"/>
    <x v="1"/>
    <n v="17.100000000000001"/>
    <x v="3"/>
    <x v="8"/>
    <s v="VfL Wolfsburg"/>
    <n v="16"/>
    <n v="1"/>
    <n v="0"/>
    <n v="2"/>
    <x v="11"/>
    <n v="0.1875"/>
    <n v="1.0964912280701754E-2"/>
    <n v="2"/>
    <n v="0"/>
    <n v="0"/>
    <n v="1"/>
    <n v="0"/>
  </r>
  <r>
    <n v="462"/>
    <x v="462"/>
    <s v="Centre-Back"/>
    <x v="2"/>
    <x v="1"/>
    <x v="0"/>
    <n v="16.2"/>
    <x v="3"/>
    <x v="0"/>
    <s v="RB Leipzig"/>
    <n v="16"/>
    <n v="0"/>
    <n v="0"/>
    <n v="0"/>
    <x v="7"/>
    <n v="0"/>
    <n v="0"/>
    <n v="3"/>
    <n v="0"/>
    <n v="0"/>
    <n v="2"/>
    <n v="5"/>
  </r>
  <r>
    <n v="463"/>
    <x v="463"/>
    <s v="Left-Back"/>
    <x v="2"/>
    <x v="12"/>
    <x v="0"/>
    <n v="16.2"/>
    <x v="3"/>
    <x v="0"/>
    <s v="Wolverhampton Wanderers"/>
    <n v="6"/>
    <n v="0"/>
    <n v="0"/>
    <n v="2"/>
    <x v="8"/>
    <n v="0.33333333333333331"/>
    <n v="2.0576131687242798E-2"/>
    <n v="1"/>
    <n v="0"/>
    <n v="0"/>
    <n v="1"/>
    <n v="3"/>
  </r>
  <r>
    <n v="464"/>
    <x v="464"/>
    <s v="Right Winger"/>
    <x v="0"/>
    <x v="13"/>
    <x v="3"/>
    <n v="16.2"/>
    <x v="3"/>
    <x v="23"/>
    <s v="Manchester United"/>
    <n v="2"/>
    <n v="2"/>
    <n v="0"/>
    <n v="1"/>
    <x v="11"/>
    <n v="1.5"/>
    <n v="9.2592592592592601E-2"/>
    <n v="0"/>
    <n v="0"/>
    <n v="0"/>
    <n v="0"/>
    <n v="0"/>
  </r>
  <r>
    <n v="465"/>
    <x v="465"/>
    <s v="Right-Back"/>
    <x v="2"/>
    <x v="1"/>
    <x v="0"/>
    <n v="16.2"/>
    <x v="3"/>
    <x v="2"/>
    <s v="Brighton &amp; Hove Albion"/>
    <n v="5"/>
    <n v="0"/>
    <n v="0"/>
    <n v="0"/>
    <x v="7"/>
    <n v="0"/>
    <n v="0"/>
    <n v="1"/>
    <n v="0"/>
    <n v="0"/>
    <n v="3"/>
    <n v="2"/>
  </r>
  <r>
    <n v="466"/>
    <x v="466"/>
    <s v="Right Winger"/>
    <x v="0"/>
    <x v="13"/>
    <x v="3"/>
    <n v="16.2"/>
    <x v="3"/>
    <x v="2"/>
    <s v="PSV Eindhoven"/>
    <n v="17"/>
    <n v="6"/>
    <n v="0"/>
    <n v="1"/>
    <x v="10"/>
    <n v="0.41176470588235292"/>
    <n v="2.5417574437182282E-2"/>
    <n v="0"/>
    <n v="0"/>
    <n v="0"/>
    <n v="2"/>
    <n v="15"/>
  </r>
  <r>
    <n v="467"/>
    <x v="467"/>
    <s v="Left Winger"/>
    <x v="0"/>
    <x v="12"/>
    <x v="0"/>
    <n v="16.2"/>
    <x v="3"/>
    <x v="53"/>
    <s v="Rubin Kazan"/>
    <n v="15"/>
    <n v="1"/>
    <n v="0"/>
    <n v="2"/>
    <x v="11"/>
    <n v="0.2"/>
    <n v="1.234567901234568E-2"/>
    <n v="4"/>
    <n v="0"/>
    <n v="0"/>
    <n v="3"/>
    <n v="7"/>
  </r>
  <r>
    <n v="468"/>
    <x v="468"/>
    <s v="Central Midfield"/>
    <x v="1"/>
    <x v="6"/>
    <x v="1"/>
    <n v="16.2"/>
    <x v="3"/>
    <x v="5"/>
    <s v="Zenit St. Petersburg"/>
    <n v="20"/>
    <n v="4"/>
    <n v="0"/>
    <n v="2"/>
    <x v="6"/>
    <n v="0.3"/>
    <n v="1.8518518518518517E-2"/>
    <n v="3"/>
    <n v="0"/>
    <n v="0"/>
    <n v="0"/>
    <n v="13"/>
  </r>
  <r>
    <n v="469"/>
    <x v="469"/>
    <s v="Centre-Back"/>
    <x v="2"/>
    <x v="12"/>
    <x v="0"/>
    <n v="16.2"/>
    <x v="3"/>
    <x v="0"/>
    <s v="Olympique Marseille"/>
    <n v="20"/>
    <n v="0"/>
    <n v="0"/>
    <n v="0"/>
    <x v="7"/>
    <n v="0"/>
    <n v="0"/>
    <n v="3"/>
    <n v="0"/>
    <n v="0"/>
    <n v="0"/>
    <n v="1"/>
  </r>
  <r>
    <n v="470"/>
    <x v="470"/>
    <s v="Centre-Back"/>
    <x v="2"/>
    <x v="6"/>
    <x v="1"/>
    <n v="16.2"/>
    <x v="3"/>
    <x v="12"/>
    <s v="Feyenoord Rotterdam"/>
    <n v="18"/>
    <n v="0"/>
    <n v="0"/>
    <n v="3"/>
    <x v="11"/>
    <n v="0.16666666666666666"/>
    <n v="1.0288065843621399E-2"/>
    <n v="2"/>
    <n v="0"/>
    <n v="0"/>
    <n v="0"/>
    <n v="5"/>
  </r>
  <r>
    <n v="471"/>
    <x v="471"/>
    <s v="Centre-Forward"/>
    <x v="0"/>
    <x v="19"/>
    <x v="3"/>
    <n v="16.2"/>
    <x v="3"/>
    <x v="8"/>
    <s v="Borussia Dortmund"/>
    <n v="11"/>
    <n v="3"/>
    <n v="0"/>
    <n v="1"/>
    <x v="5"/>
    <n v="0.36363636363636365"/>
    <n v="2.2446689113355782E-2"/>
    <n v="2"/>
    <n v="0"/>
    <n v="0"/>
    <n v="7"/>
    <n v="3"/>
  </r>
  <r>
    <n v="472"/>
    <x v="472"/>
    <s v="Centre-Back"/>
    <x v="2"/>
    <x v="6"/>
    <x v="1"/>
    <n v="16.2"/>
    <x v="3"/>
    <x v="5"/>
    <s v="SS Lazio"/>
    <n v="13"/>
    <n v="0"/>
    <n v="0"/>
    <n v="0"/>
    <x v="7"/>
    <n v="0"/>
    <n v="0"/>
    <n v="4"/>
    <n v="0"/>
    <n v="1"/>
    <n v="0"/>
    <n v="2"/>
  </r>
  <r>
    <n v="473"/>
    <x v="473"/>
    <s v="Central Midfield"/>
    <x v="1"/>
    <x v="6"/>
    <x v="1"/>
    <n v="16.2"/>
    <x v="3"/>
    <x v="18"/>
    <s v="Club Atlético River Plate"/>
    <n v="11"/>
    <n v="4"/>
    <n v="0"/>
    <n v="1"/>
    <x v="3"/>
    <n v="0.45454545454545453"/>
    <n v="2.8058361391694726E-2"/>
    <n v="1"/>
    <n v="0"/>
    <n v="0"/>
    <n v="2"/>
    <n v="3"/>
  </r>
  <r>
    <n v="474"/>
    <x v="474"/>
    <s v="Left Midfield"/>
    <x v="1"/>
    <x v="1"/>
    <x v="0"/>
    <n v="16.2"/>
    <x v="3"/>
    <x v="2"/>
    <s v="Tottenham Hotspur"/>
    <n v="3"/>
    <n v="0"/>
    <n v="0"/>
    <n v="0"/>
    <x v="7"/>
    <n v="0"/>
    <n v="0"/>
    <n v="0"/>
    <n v="0"/>
    <n v="0"/>
    <n v="0"/>
    <n v="3"/>
  </r>
  <r>
    <n v="475"/>
    <x v="475"/>
    <s v="Centre-Back"/>
    <x v="2"/>
    <x v="10"/>
    <x v="0"/>
    <n v="16.2"/>
    <x v="3"/>
    <x v="0"/>
    <s v="AS Monaco"/>
    <n v="16"/>
    <n v="1"/>
    <n v="0"/>
    <n v="0"/>
    <x v="14"/>
    <n v="6.25E-2"/>
    <n v="3.8580246913580249E-3"/>
    <n v="3"/>
    <n v="0"/>
    <n v="0"/>
    <n v="3"/>
    <n v="4"/>
  </r>
  <r>
    <n v="476"/>
    <x v="476"/>
    <s v="Right Winger"/>
    <x v="0"/>
    <x v="0"/>
    <x v="0"/>
    <n v="16.2"/>
    <x v="3"/>
    <x v="4"/>
    <s v="AC Milan"/>
    <n v="16"/>
    <n v="0"/>
    <n v="0"/>
    <n v="2"/>
    <x v="8"/>
    <n v="0.125"/>
    <n v="7.7160493827160498E-3"/>
    <n v="2"/>
    <n v="0"/>
    <n v="0"/>
    <n v="4"/>
    <n v="7"/>
  </r>
  <r>
    <n v="477"/>
    <x v="477"/>
    <s v="Central Midfield"/>
    <x v="1"/>
    <x v="10"/>
    <x v="0"/>
    <n v="16.2"/>
    <x v="3"/>
    <x v="54"/>
    <s v="RCD Espanyol Barcelona"/>
    <n v="4"/>
    <n v="0"/>
    <n v="0"/>
    <n v="0"/>
    <x v="7"/>
    <n v="0"/>
    <n v="0"/>
    <n v="1"/>
    <n v="0"/>
    <n v="0"/>
    <n v="3"/>
    <n v="1"/>
  </r>
  <r>
    <n v="478"/>
    <x v="478"/>
    <s v="Right Winger"/>
    <x v="0"/>
    <x v="6"/>
    <x v="1"/>
    <n v="16.2"/>
    <x v="3"/>
    <x v="26"/>
    <s v="Olympique Marseille"/>
    <n v="15"/>
    <n v="5"/>
    <n v="0"/>
    <n v="0"/>
    <x v="3"/>
    <n v="0.33333333333333331"/>
    <n v="2.0576131687242798E-2"/>
    <n v="0"/>
    <n v="1"/>
    <n v="0"/>
    <n v="1"/>
    <n v="5"/>
  </r>
  <r>
    <n v="479"/>
    <x v="479"/>
    <s v="Right-Back"/>
    <x v="2"/>
    <x v="6"/>
    <x v="1"/>
    <n v="16.2"/>
    <x v="3"/>
    <x v="2"/>
    <s v="Southampton FC"/>
    <n v="9"/>
    <n v="1"/>
    <n v="0"/>
    <n v="1"/>
    <x v="8"/>
    <n v="0.22222222222222221"/>
    <n v="1.3717421124828532E-2"/>
    <n v="2"/>
    <n v="0"/>
    <n v="0"/>
    <n v="1"/>
    <n v="1"/>
  </r>
  <r>
    <n v="480"/>
    <x v="480"/>
    <s v="Right-Back"/>
    <x v="2"/>
    <x v="6"/>
    <x v="1"/>
    <n v="16.2"/>
    <x v="3"/>
    <x v="14"/>
    <s v="Ajax Amsterdam"/>
    <n v="16"/>
    <n v="4"/>
    <n v="0"/>
    <n v="3"/>
    <x v="10"/>
    <n v="0.4375"/>
    <n v="2.7006172839506175E-2"/>
    <n v="1"/>
    <n v="0"/>
    <n v="0"/>
    <n v="0"/>
    <n v="5"/>
  </r>
  <r>
    <n v="481"/>
    <x v="481"/>
    <s v="Centre-Forward"/>
    <x v="0"/>
    <x v="6"/>
    <x v="1"/>
    <n v="16.2"/>
    <x v="3"/>
    <x v="20"/>
    <s v="UD Almería"/>
    <n v="15"/>
    <n v="7"/>
    <n v="0"/>
    <n v="6"/>
    <x v="9"/>
    <n v="0.8666666666666667"/>
    <n v="5.3497942386831282E-2"/>
    <n v="5"/>
    <n v="0"/>
    <n v="0"/>
    <n v="1"/>
    <n v="7"/>
  </r>
  <r>
    <n v="482"/>
    <x v="482"/>
    <s v="Defensive Midfield"/>
    <x v="1"/>
    <x v="10"/>
    <x v="0"/>
    <n v="16.2"/>
    <x v="3"/>
    <x v="1"/>
    <s v="Sheffield United"/>
    <n v="6"/>
    <n v="1"/>
    <n v="0"/>
    <n v="0"/>
    <x v="14"/>
    <n v="0.16666666666666666"/>
    <n v="1.0288065843621399E-2"/>
    <n v="0"/>
    <n v="0"/>
    <n v="0"/>
    <n v="1"/>
    <n v="1"/>
  </r>
  <r>
    <n v="483"/>
    <x v="483"/>
    <s v="Right Midfield"/>
    <x v="1"/>
    <x v="7"/>
    <x v="1"/>
    <n v="16.2"/>
    <x v="3"/>
    <x v="15"/>
    <s v="SS Lazio"/>
    <n v="13"/>
    <n v="1"/>
    <n v="0"/>
    <n v="0"/>
    <x v="14"/>
    <n v="7.6923076923076927E-2"/>
    <n v="4.7483380816714157E-3"/>
    <n v="2"/>
    <n v="0"/>
    <n v="0"/>
    <n v="5"/>
    <n v="4"/>
  </r>
  <r>
    <n v="484"/>
    <x v="484"/>
    <s v="Left Winger"/>
    <x v="0"/>
    <x v="11"/>
    <x v="1"/>
    <n v="16.2"/>
    <x v="3"/>
    <x v="5"/>
    <s v="SL Benfica"/>
    <n v="20"/>
    <n v="3"/>
    <n v="1"/>
    <n v="4"/>
    <x v="10"/>
    <n v="0.35"/>
    <n v="2.1604938271604937E-2"/>
    <n v="3"/>
    <n v="0"/>
    <n v="0"/>
    <n v="10"/>
    <n v="6"/>
  </r>
  <r>
    <n v="485"/>
    <x v="485"/>
    <s v="Left Winger"/>
    <x v="0"/>
    <x v="6"/>
    <x v="1"/>
    <n v="16.2"/>
    <x v="3"/>
    <x v="55"/>
    <s v="Leeds United"/>
    <n v="12"/>
    <n v="0"/>
    <n v="0"/>
    <n v="1"/>
    <x v="14"/>
    <n v="8.3333333333333329E-2"/>
    <n v="5.1440329218106996E-3"/>
    <n v="0"/>
    <n v="0"/>
    <n v="0"/>
    <n v="1"/>
    <n v="6"/>
  </r>
  <r>
    <n v="486"/>
    <x v="486"/>
    <s v="Defensive Midfield"/>
    <x v="1"/>
    <x v="11"/>
    <x v="1"/>
    <n v="16.2"/>
    <x v="3"/>
    <x v="18"/>
    <s v="ACF Fiorentina"/>
    <n v="9"/>
    <n v="0"/>
    <n v="0"/>
    <n v="0"/>
    <x v="7"/>
    <n v="0"/>
    <n v="0"/>
    <n v="0"/>
    <n v="0"/>
    <n v="0"/>
    <n v="2"/>
    <n v="6"/>
  </r>
  <r>
    <n v="487"/>
    <x v="487"/>
    <s v="Central Midfield"/>
    <x v="1"/>
    <x v="10"/>
    <x v="0"/>
    <n v="16.2"/>
    <x v="3"/>
    <x v="2"/>
    <s v="Everton FC"/>
    <n v="7"/>
    <n v="1"/>
    <n v="0"/>
    <n v="1"/>
    <x v="8"/>
    <n v="0.2857142857142857"/>
    <n v="1.7636684303350969E-2"/>
    <n v="0"/>
    <n v="0"/>
    <n v="0"/>
    <n v="4"/>
    <n v="1"/>
  </r>
  <r>
    <n v="488"/>
    <x v="488"/>
    <s v="Defensive Midfield"/>
    <x v="1"/>
    <x v="3"/>
    <x v="1"/>
    <n v="16.2"/>
    <x v="3"/>
    <x v="56"/>
    <s v="Celta de Vigo"/>
    <n v="11"/>
    <n v="0"/>
    <n v="0"/>
    <n v="0"/>
    <x v="7"/>
    <n v="0"/>
    <n v="0"/>
    <n v="5"/>
    <n v="0"/>
    <n v="0"/>
    <n v="1"/>
    <n v="7"/>
  </r>
  <r>
    <n v="489"/>
    <x v="489"/>
    <s v="Goalkeeper"/>
    <x v="3"/>
    <x v="3"/>
    <x v="1"/>
    <n v="16.2"/>
    <x v="3"/>
    <x v="11"/>
    <s v="Brentford FC"/>
    <n v="9"/>
    <n v="0"/>
    <n v="0"/>
    <n v="0"/>
    <x v="7"/>
    <n v="0"/>
    <n v="0"/>
    <n v="0"/>
    <n v="0"/>
    <n v="0"/>
    <n v="0"/>
    <n v="0"/>
  </r>
  <r>
    <n v="490"/>
    <x v="490"/>
    <s v="Goalkeeper"/>
    <x v="3"/>
    <x v="10"/>
    <x v="0"/>
    <n v="16.2"/>
    <x v="3"/>
    <x v="38"/>
    <s v="Borussia Dortmund"/>
    <n v="18"/>
    <n v="0"/>
    <n v="0"/>
    <n v="0"/>
    <x v="7"/>
    <n v="0"/>
    <n v="0"/>
    <n v="0"/>
    <n v="0"/>
    <n v="0"/>
    <n v="0"/>
    <n v="1"/>
  </r>
  <r>
    <n v="491"/>
    <x v="491"/>
    <s v="Defensive Midfield"/>
    <x v="1"/>
    <x v="2"/>
    <x v="1"/>
    <n v="16.2"/>
    <x v="3"/>
    <x v="36"/>
    <s v="Zenit St. Petersburg"/>
    <n v="16"/>
    <n v="0"/>
    <n v="0"/>
    <n v="1"/>
    <x v="14"/>
    <n v="6.25E-2"/>
    <n v="3.8580246913580249E-3"/>
    <n v="2"/>
    <n v="0"/>
    <n v="0"/>
    <n v="1"/>
    <n v="4"/>
  </r>
  <r>
    <n v="492"/>
    <x v="492"/>
    <s v="Right Winger"/>
    <x v="0"/>
    <x v="3"/>
    <x v="1"/>
    <n v="16.2"/>
    <x v="3"/>
    <x v="7"/>
    <s v="AS Monaco"/>
    <n v="18"/>
    <n v="3"/>
    <n v="0"/>
    <n v="1"/>
    <x v="5"/>
    <n v="0.22222222222222221"/>
    <n v="1.3717421124828532E-2"/>
    <n v="0"/>
    <n v="0"/>
    <n v="0"/>
    <n v="2"/>
    <n v="16"/>
  </r>
  <r>
    <n v="493"/>
    <x v="493"/>
    <s v="Centre-Back"/>
    <x v="2"/>
    <x v="3"/>
    <x v="1"/>
    <n v="16.2"/>
    <x v="3"/>
    <x v="2"/>
    <s v="Arsenal FC"/>
    <n v="5"/>
    <n v="0"/>
    <n v="0"/>
    <n v="0"/>
    <x v="7"/>
    <n v="0"/>
    <n v="0"/>
    <n v="2"/>
    <n v="0"/>
    <n v="0"/>
    <n v="0"/>
    <n v="1"/>
  </r>
  <r>
    <n v="494"/>
    <x v="494"/>
    <s v="Centre-Forward"/>
    <x v="0"/>
    <x v="6"/>
    <x v="1"/>
    <n v="16.2"/>
    <x v="3"/>
    <x v="2"/>
    <s v="Southampton FC"/>
    <n v="11"/>
    <n v="2"/>
    <n v="0"/>
    <n v="2"/>
    <x v="5"/>
    <n v="0.36363636363636365"/>
    <n v="2.2446689113355782E-2"/>
    <n v="0"/>
    <n v="0"/>
    <n v="0"/>
    <n v="1"/>
    <n v="2"/>
  </r>
  <r>
    <n v="495"/>
    <x v="495"/>
    <s v="Attacking Midfield"/>
    <x v="1"/>
    <x v="7"/>
    <x v="1"/>
    <n v="16.2"/>
    <x v="3"/>
    <x v="18"/>
    <s v="Clube de Regatas do Flamengo"/>
    <n v="0"/>
    <n v="0"/>
    <n v="0"/>
    <n v="0"/>
    <x v="7"/>
    <n v="0"/>
    <n v="0"/>
    <n v="0"/>
    <n v="0"/>
    <n v="0"/>
    <n v="0"/>
    <n v="0"/>
  </r>
  <r>
    <n v="496"/>
    <x v="496"/>
    <s v="Second Striker"/>
    <x v="0"/>
    <x v="2"/>
    <x v="1"/>
    <n v="16.2"/>
    <x v="3"/>
    <x v="11"/>
    <s v="Leicester City"/>
    <n v="8"/>
    <n v="1"/>
    <n v="0"/>
    <n v="3"/>
    <x v="5"/>
    <n v="0.5"/>
    <n v="3.0864197530864199E-2"/>
    <n v="0"/>
    <n v="0"/>
    <n v="1"/>
    <n v="2"/>
    <n v="5"/>
  </r>
  <r>
    <n v="497"/>
    <x v="497"/>
    <s v="Goalkeeper"/>
    <x v="3"/>
    <x v="6"/>
    <x v="1"/>
    <n v="16.2"/>
    <x v="3"/>
    <x v="15"/>
    <s v="SSC Napoli"/>
    <n v="5"/>
    <n v="0"/>
    <n v="0"/>
    <n v="0"/>
    <x v="7"/>
    <n v="0"/>
    <n v="0"/>
    <n v="0"/>
    <n v="0"/>
    <n v="0"/>
    <n v="0"/>
    <n v="0"/>
  </r>
  <r>
    <n v="498"/>
    <x v="498"/>
    <s v="Centre-Back"/>
    <x v="2"/>
    <x v="11"/>
    <x v="1"/>
    <n v="16.2"/>
    <x v="3"/>
    <x v="28"/>
    <s v="Olympique Marseille"/>
    <n v="8"/>
    <n v="0"/>
    <n v="0"/>
    <n v="0"/>
    <x v="7"/>
    <n v="0"/>
    <n v="0"/>
    <n v="2"/>
    <n v="0"/>
    <n v="0"/>
    <n v="0"/>
    <n v="2"/>
  </r>
  <r>
    <n v="499"/>
    <x v="499"/>
    <s v="Centre-Back"/>
    <x v="2"/>
    <x v="7"/>
    <x v="1"/>
    <n v="16.2"/>
    <x v="3"/>
    <x v="11"/>
    <s v="Real Sociedad"/>
    <n v="15"/>
    <n v="3"/>
    <n v="0"/>
    <n v="1"/>
    <x v="5"/>
    <n v="0.26666666666666666"/>
    <n v="1.646090534979424E-2"/>
    <n v="4"/>
    <n v="0"/>
    <n v="0"/>
    <n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50A62-BF5F-4E6E-89C7-566372DD1788}" name="Зведена таблиця12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9">
  <location ref="L21:M32" firstHeaderRow="1" firstDataRow="1" firstDataCol="1"/>
  <pivotFields count="22">
    <pivotField showAll="0"/>
    <pivotField axis="axisRow" showAll="0" measureFilter="1" sortType="descending">
      <items count="501">
        <item x="399"/>
        <item x="122"/>
        <item x="311"/>
        <item x="325"/>
        <item x="28"/>
        <item x="494"/>
        <item x="227"/>
        <item x="231"/>
        <item x="372"/>
        <item x="251"/>
        <item x="53"/>
        <item x="439"/>
        <item x="370"/>
        <item x="497"/>
        <item x="437"/>
        <item x="455"/>
        <item x="427"/>
        <item x="129"/>
        <item x="383"/>
        <item x="476"/>
        <item x="409"/>
        <item x="61"/>
        <item x="380"/>
        <item x="216"/>
        <item x="27"/>
        <item x="110"/>
        <item x="464"/>
        <item x="335"/>
        <item x="159"/>
        <item x="434"/>
        <item x="139"/>
        <item x="293"/>
        <item x="182"/>
        <item x="179"/>
        <item x="345"/>
        <item x="47"/>
        <item x="135"/>
        <item x="458"/>
        <item x="175"/>
        <item x="48"/>
        <item x="199"/>
        <item x="180"/>
        <item x="92"/>
        <item x="187"/>
        <item x="274"/>
        <item x="499"/>
        <item x="441"/>
        <item x="292"/>
        <item x="166"/>
        <item x="160"/>
        <item x="475"/>
        <item x="107"/>
        <item x="496"/>
        <item x="151"/>
        <item x="296"/>
        <item x="131"/>
        <item x="169"/>
        <item x="241"/>
        <item x="377"/>
        <item x="36"/>
        <item x="447"/>
        <item x="243"/>
        <item x="247"/>
        <item x="342"/>
        <item x="10"/>
        <item x="206"/>
        <item x="438"/>
        <item x="205"/>
        <item x="43"/>
        <item x="102"/>
        <item x="193"/>
        <item x="381"/>
        <item x="127"/>
        <item x="41"/>
        <item x="478"/>
        <item x="283"/>
        <item x="412"/>
        <item x="83"/>
        <item x="361"/>
        <item x="96"/>
        <item x="153"/>
        <item x="351"/>
        <item x="324"/>
        <item x="168"/>
        <item x="113"/>
        <item x="209"/>
        <item x="291"/>
        <item x="418"/>
        <item x="85"/>
        <item x="322"/>
        <item x="485"/>
        <item x="308"/>
        <item x="446"/>
        <item x="379"/>
        <item x="391"/>
        <item x="75"/>
        <item x="349"/>
        <item x="489"/>
        <item x="307"/>
        <item x="194"/>
        <item x="52"/>
        <item x="369"/>
        <item x="29"/>
        <item x="158"/>
        <item x="225"/>
        <item x="260"/>
        <item x="101"/>
        <item x="431"/>
        <item x="100"/>
        <item x="402"/>
        <item x="181"/>
        <item x="104"/>
        <item x="282"/>
        <item x="303"/>
        <item x="212"/>
        <item x="156"/>
        <item x="498"/>
        <item x="81"/>
        <item x="191"/>
        <item x="347"/>
        <item x="397"/>
        <item x="332"/>
        <item x="125"/>
        <item x="88"/>
        <item x="121"/>
        <item x="208"/>
        <item x="64"/>
        <item x="281"/>
        <item x="449"/>
        <item x="244"/>
        <item x="171"/>
        <item x="186"/>
        <item x="269"/>
        <item x="395"/>
        <item x="375"/>
        <item x="398"/>
        <item x="448"/>
        <item x="1"/>
        <item x="245"/>
        <item x="484"/>
        <item x="287"/>
        <item x="99"/>
        <item x="56"/>
        <item x="276"/>
        <item x="32"/>
        <item x="44"/>
        <item x="86"/>
        <item x="79"/>
        <item x="133"/>
        <item x="445"/>
        <item x="250"/>
        <item x="42"/>
        <item x="353"/>
        <item x="66"/>
        <item x="373"/>
        <item x="9"/>
        <item x="284"/>
        <item x="267"/>
        <item x="51"/>
        <item x="346"/>
        <item x="420"/>
        <item x="271"/>
        <item x="492"/>
        <item x="239"/>
        <item x="140"/>
        <item x="413"/>
        <item x="219"/>
        <item x="45"/>
        <item x="495"/>
        <item x="357"/>
        <item x="339"/>
        <item x="114"/>
        <item x="313"/>
        <item x="382"/>
        <item x="490"/>
        <item x="358"/>
        <item x="234"/>
        <item x="152"/>
        <item x="405"/>
        <item x="2"/>
        <item x="91"/>
        <item x="430"/>
        <item x="162"/>
        <item x="442"/>
        <item x="15"/>
        <item x="103"/>
        <item x="163"/>
        <item x="167"/>
        <item x="410"/>
        <item x="272"/>
        <item x="148"/>
        <item x="392"/>
        <item x="309"/>
        <item x="319"/>
        <item x="149"/>
        <item x="258"/>
        <item x="198"/>
        <item x="3"/>
        <item x="8"/>
        <item x="76"/>
        <item x="84"/>
        <item x="452"/>
        <item x="318"/>
        <item x="200"/>
        <item x="310"/>
        <item x="40"/>
        <item x="213"/>
        <item x="305"/>
        <item x="417"/>
        <item x="436"/>
        <item x="266"/>
        <item x="378"/>
        <item x="235"/>
        <item x="368"/>
        <item x="460"/>
        <item x="217"/>
        <item x="70"/>
        <item x="26"/>
        <item x="384"/>
        <item x="223"/>
        <item x="220"/>
        <item x="359"/>
        <item x="228"/>
        <item x="230"/>
        <item x="301"/>
        <item x="154"/>
        <item x="300"/>
        <item x="371"/>
        <item x="457"/>
        <item x="323"/>
        <item x="190"/>
        <item x="111"/>
        <item x="178"/>
        <item x="55"/>
        <item x="11"/>
        <item x="459"/>
        <item x="432"/>
        <item x="25"/>
        <item x="49"/>
        <item x="387"/>
        <item x="443"/>
        <item x="453"/>
        <item x="440"/>
        <item x="34"/>
        <item x="95"/>
        <item x="128"/>
        <item x="394"/>
        <item x="333"/>
        <item x="366"/>
        <item x="421"/>
        <item x="6"/>
        <item x="237"/>
        <item x="467"/>
        <item x="197"/>
        <item x="451"/>
        <item x="68"/>
        <item x="62"/>
        <item x="268"/>
        <item x="202"/>
        <item x="257"/>
        <item x="479"/>
        <item x="0"/>
        <item x="18"/>
        <item x="232"/>
        <item x="376"/>
        <item x="164"/>
        <item x="39"/>
        <item x="270"/>
        <item x="58"/>
        <item x="321"/>
        <item x="20"/>
        <item x="277"/>
        <item x="94"/>
        <item x="105"/>
        <item x="185"/>
        <item x="106"/>
        <item x="328"/>
        <item x="229"/>
        <item x="157"/>
        <item x="486"/>
        <item x="147"/>
        <item x="278"/>
        <item x="236"/>
        <item x="472"/>
        <item x="426"/>
        <item x="262"/>
        <item x="118"/>
        <item x="362"/>
        <item x="403"/>
        <item x="215"/>
        <item x="483"/>
        <item x="177"/>
        <item x="354"/>
        <item x="424"/>
        <item x="404"/>
        <item x="74"/>
        <item x="203"/>
        <item x="143"/>
        <item x="173"/>
        <item x="73"/>
        <item x="19"/>
        <item x="470"/>
        <item x="13"/>
        <item x="249"/>
        <item x="174"/>
        <item x="343"/>
        <item x="24"/>
        <item x="344"/>
        <item x="132"/>
        <item x="400"/>
        <item x="77"/>
        <item x="411"/>
        <item x="21"/>
        <item x="112"/>
        <item x="207"/>
        <item x="350"/>
        <item x="415"/>
        <item x="233"/>
        <item x="264"/>
        <item x="33"/>
        <item x="352"/>
        <item x="422"/>
        <item x="188"/>
        <item x="348"/>
        <item x="242"/>
        <item x="289"/>
        <item x="461"/>
        <item x="108"/>
        <item x="248"/>
        <item x="326"/>
        <item x="316"/>
        <item x="130"/>
        <item x="31"/>
        <item x="393"/>
        <item x="57"/>
        <item x="4"/>
        <item x="462"/>
        <item x="165"/>
        <item x="433"/>
        <item x="115"/>
        <item x="396"/>
        <item x="314"/>
        <item x="196"/>
        <item x="419"/>
        <item x="201"/>
        <item x="435"/>
        <item x="254"/>
        <item x="7"/>
        <item x="69"/>
        <item x="315"/>
        <item x="473"/>
        <item x="334"/>
        <item x="170"/>
        <item x="46"/>
        <item x="126"/>
        <item x="183"/>
        <item x="286"/>
        <item x="214"/>
        <item x="297"/>
        <item x="466"/>
        <item x="295"/>
        <item x="480"/>
        <item x="120"/>
        <item x="340"/>
        <item x="256"/>
        <item x="195"/>
        <item x="363"/>
        <item x="337"/>
        <item x="87"/>
        <item x="408"/>
        <item x="329"/>
        <item x="389"/>
        <item x="374"/>
        <item x="253"/>
        <item x="356"/>
        <item x="78"/>
        <item x="367"/>
        <item x="59"/>
        <item x="89"/>
        <item x="16"/>
        <item x="285"/>
        <item x="155"/>
        <item x="390"/>
        <item x="17"/>
        <item x="454"/>
        <item x="331"/>
        <item x="142"/>
        <item x="90"/>
        <item x="450"/>
        <item x="134"/>
        <item x="336"/>
        <item x="290"/>
        <item x="12"/>
        <item x="364"/>
        <item x="141"/>
        <item x="37"/>
        <item x="192"/>
        <item x="255"/>
        <item x="463"/>
        <item x="341"/>
        <item x="97"/>
        <item x="320"/>
        <item x="280"/>
        <item x="218"/>
        <item x="488"/>
        <item x="224"/>
        <item x="65"/>
        <item x="299"/>
        <item x="119"/>
        <item x="493"/>
        <item x="63"/>
        <item x="146"/>
        <item x="176"/>
        <item x="294"/>
        <item x="30"/>
        <item x="211"/>
        <item x="136"/>
        <item x="161"/>
        <item x="275"/>
        <item x="5"/>
        <item x="279"/>
        <item x="23"/>
        <item x="117"/>
        <item x="226"/>
        <item x="189"/>
        <item x="474"/>
        <item x="14"/>
        <item x="302"/>
        <item x="401"/>
        <item x="482"/>
        <item x="259"/>
        <item x="317"/>
        <item x="355"/>
        <item x="144"/>
        <item x="172"/>
        <item x="263"/>
        <item x="38"/>
        <item x="35"/>
        <item x="210"/>
        <item x="456"/>
        <item x="304"/>
        <item x="273"/>
        <item x="388"/>
        <item x="93"/>
        <item x="327"/>
        <item x="365"/>
        <item x="246"/>
        <item x="416"/>
        <item x="150"/>
        <item x="98"/>
        <item x="465"/>
        <item x="407"/>
        <item x="82"/>
        <item x="330"/>
        <item x="386"/>
        <item x="60"/>
        <item x="312"/>
        <item x="138"/>
        <item x="238"/>
        <item x="137"/>
        <item x="265"/>
        <item x="444"/>
        <item x="71"/>
        <item x="252"/>
        <item x="360"/>
        <item x="487"/>
        <item x="116"/>
        <item x="240"/>
        <item x="22"/>
        <item x="414"/>
        <item x="221"/>
        <item x="481"/>
        <item x="425"/>
        <item x="338"/>
        <item x="50"/>
        <item x="306"/>
        <item x="80"/>
        <item x="72"/>
        <item x="468"/>
        <item x="123"/>
        <item x="298"/>
        <item x="54"/>
        <item x="109"/>
        <item x="469"/>
        <item x="491"/>
        <item x="184"/>
        <item x="222"/>
        <item x="261"/>
        <item x="477"/>
        <item x="145"/>
        <item x="428"/>
        <item x="204"/>
        <item x="423"/>
        <item x="67"/>
        <item x="124"/>
        <item x="471"/>
        <item x="385"/>
        <item x="406"/>
        <item x="288"/>
        <item x="4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3"/>
        <item x="1"/>
        <item t="default"/>
      </items>
    </pivotField>
    <pivotField showAll="0">
      <items count="21">
        <item x="19"/>
        <item x="18"/>
        <item x="8"/>
        <item x="13"/>
        <item x="12"/>
        <item x="1"/>
        <item x="0"/>
        <item x="10"/>
        <item x="6"/>
        <item x="11"/>
        <item x="3"/>
        <item x="7"/>
        <item x="2"/>
        <item x="4"/>
        <item x="5"/>
        <item x="16"/>
        <item x="17"/>
        <item x="14"/>
        <item x="9"/>
        <item x="15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numFmtId="164" showAll="0" maxSubtotal="1"/>
    <pivotField showAll="0">
      <items count="5">
        <item x="0"/>
        <item x="1"/>
        <item x="3"/>
        <item x="2"/>
        <item t="default"/>
      </items>
    </pivotField>
    <pivotField showAll="0">
      <items count="58">
        <item x="49"/>
        <item x="30"/>
        <item x="12"/>
        <item x="24"/>
        <item x="4"/>
        <item x="5"/>
        <item x="31"/>
        <item x="45"/>
        <item x="13"/>
        <item x="36"/>
        <item x="23"/>
        <item x="28"/>
        <item x="29"/>
        <item x="34"/>
        <item x="41"/>
        <item x="3"/>
        <item x="2"/>
        <item x="0"/>
        <item x="48"/>
        <item x="53"/>
        <item x="8"/>
        <item x="33"/>
        <item x="37"/>
        <item x="42"/>
        <item x="46"/>
        <item x="52"/>
        <item x="15"/>
        <item x="35"/>
        <item x="44"/>
        <item x="10"/>
        <item x="43"/>
        <item x="27"/>
        <item x="47"/>
        <item x="14"/>
        <item x="6"/>
        <item x="20"/>
        <item x="1"/>
        <item x="56"/>
        <item x="22"/>
        <item x="7"/>
        <item x="40"/>
        <item x="19"/>
        <item x="9"/>
        <item x="16"/>
        <item x="21"/>
        <item x="17"/>
        <item x="11"/>
        <item x="32"/>
        <item x="38"/>
        <item x="51"/>
        <item x="26"/>
        <item x="39"/>
        <item x="25"/>
        <item x="18"/>
        <item x="54"/>
        <item x="55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numFmtId="2" showAll="0"/>
    <pivotField dataField="1" numFmtId="165"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26"/>
    </i>
    <i>
      <x v="239"/>
    </i>
    <i>
      <x v="247"/>
    </i>
    <i>
      <x v="471"/>
    </i>
    <i>
      <x v="338"/>
    </i>
    <i>
      <x v="435"/>
    </i>
    <i>
      <x v="246"/>
    </i>
    <i>
      <x v="94"/>
    </i>
    <i>
      <x v="81"/>
    </i>
    <i>
      <x v="34"/>
    </i>
    <i t="grand">
      <x/>
    </i>
  </rowItems>
  <colItems count="1">
    <i/>
  </colItems>
  <dataFields count="1">
    <dataField name="Сума з Price To Earnings Ratio" fld="16" baseField="0" baseItem="0" numFmtId="165"/>
  </dataFields>
  <chartFormats count="20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1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8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5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1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8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8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464A83-9FF0-4718-B6D7-82D9D8B007B4}" name="Зведена таблиця2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6">
  <location ref="A21:B26" firstHeaderRow="1" firstDataRow="1" firstDataCol="1"/>
  <pivotFields count="22">
    <pivotField dataField="1" showAll="0"/>
    <pivotField showAll="0"/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numFmtId="164" showAll="0" maxSubtotal="1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showAll="0"/>
    <pivotField showAll="0"/>
    <pivotField showAll="0"/>
    <pivotField showAll="0"/>
    <pivotField showAll="0"/>
  </pivotFields>
  <rowFields count="1">
    <field x="7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Кількість з Column1" fld="0" subtotal="count" showDataAs="percentOfTotal" baseField="6" baseItem="3" numFmtId="10"/>
  </dataFields>
  <chartFormats count="8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F7E9A-C2F4-4DA1-9ECE-FE68C9501221}" name="Зведена таблиця11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12">
  <location ref="I21:J37" firstHeaderRow="1" firstDataRow="1" firstDataCol="1"/>
  <pivotFields count="22">
    <pivotField showAll="0"/>
    <pivotField axis="axisRow" showAll="0" measureFilter="1" sortType="descending">
      <items count="501">
        <item x="399"/>
        <item x="122"/>
        <item x="311"/>
        <item x="325"/>
        <item x="28"/>
        <item x="494"/>
        <item x="227"/>
        <item x="231"/>
        <item x="372"/>
        <item x="251"/>
        <item x="53"/>
        <item x="439"/>
        <item x="370"/>
        <item x="497"/>
        <item x="437"/>
        <item x="455"/>
        <item x="427"/>
        <item x="129"/>
        <item x="383"/>
        <item x="476"/>
        <item x="409"/>
        <item x="61"/>
        <item x="380"/>
        <item x="216"/>
        <item x="27"/>
        <item x="110"/>
        <item x="464"/>
        <item x="335"/>
        <item x="159"/>
        <item x="434"/>
        <item x="139"/>
        <item x="293"/>
        <item x="182"/>
        <item x="179"/>
        <item x="345"/>
        <item x="47"/>
        <item x="135"/>
        <item x="458"/>
        <item x="175"/>
        <item x="48"/>
        <item x="199"/>
        <item x="180"/>
        <item x="92"/>
        <item x="187"/>
        <item x="274"/>
        <item x="499"/>
        <item x="441"/>
        <item x="292"/>
        <item x="166"/>
        <item x="160"/>
        <item x="475"/>
        <item x="107"/>
        <item x="496"/>
        <item x="151"/>
        <item x="296"/>
        <item x="131"/>
        <item x="169"/>
        <item x="241"/>
        <item x="377"/>
        <item x="36"/>
        <item x="447"/>
        <item x="243"/>
        <item x="247"/>
        <item x="342"/>
        <item x="10"/>
        <item x="206"/>
        <item x="438"/>
        <item x="205"/>
        <item x="43"/>
        <item x="102"/>
        <item x="193"/>
        <item x="381"/>
        <item x="127"/>
        <item x="41"/>
        <item x="478"/>
        <item x="283"/>
        <item x="412"/>
        <item x="83"/>
        <item x="361"/>
        <item x="96"/>
        <item x="153"/>
        <item x="351"/>
        <item x="324"/>
        <item x="168"/>
        <item x="113"/>
        <item x="209"/>
        <item x="291"/>
        <item x="418"/>
        <item x="85"/>
        <item x="322"/>
        <item x="485"/>
        <item x="308"/>
        <item x="446"/>
        <item x="379"/>
        <item x="391"/>
        <item x="75"/>
        <item x="349"/>
        <item x="489"/>
        <item x="307"/>
        <item x="194"/>
        <item x="52"/>
        <item x="369"/>
        <item x="29"/>
        <item x="158"/>
        <item x="225"/>
        <item x="260"/>
        <item x="101"/>
        <item x="431"/>
        <item x="100"/>
        <item x="402"/>
        <item x="181"/>
        <item x="104"/>
        <item x="282"/>
        <item x="303"/>
        <item x="212"/>
        <item x="156"/>
        <item x="498"/>
        <item x="81"/>
        <item x="191"/>
        <item x="347"/>
        <item x="397"/>
        <item x="332"/>
        <item x="125"/>
        <item x="88"/>
        <item x="121"/>
        <item x="208"/>
        <item x="64"/>
        <item x="281"/>
        <item x="449"/>
        <item x="244"/>
        <item x="171"/>
        <item x="186"/>
        <item x="269"/>
        <item x="395"/>
        <item x="375"/>
        <item x="398"/>
        <item x="448"/>
        <item x="1"/>
        <item x="245"/>
        <item x="484"/>
        <item x="287"/>
        <item x="99"/>
        <item x="56"/>
        <item x="276"/>
        <item x="32"/>
        <item x="44"/>
        <item x="86"/>
        <item x="79"/>
        <item x="133"/>
        <item x="445"/>
        <item x="250"/>
        <item x="42"/>
        <item x="353"/>
        <item x="66"/>
        <item x="373"/>
        <item x="9"/>
        <item x="284"/>
        <item x="267"/>
        <item x="51"/>
        <item x="346"/>
        <item x="420"/>
        <item x="271"/>
        <item x="492"/>
        <item x="239"/>
        <item x="140"/>
        <item x="413"/>
        <item x="219"/>
        <item x="45"/>
        <item x="495"/>
        <item x="357"/>
        <item x="339"/>
        <item x="114"/>
        <item x="313"/>
        <item x="382"/>
        <item x="490"/>
        <item x="358"/>
        <item x="234"/>
        <item x="152"/>
        <item x="405"/>
        <item x="2"/>
        <item x="91"/>
        <item x="430"/>
        <item x="162"/>
        <item x="442"/>
        <item x="15"/>
        <item x="103"/>
        <item x="163"/>
        <item x="167"/>
        <item x="410"/>
        <item x="272"/>
        <item x="148"/>
        <item x="392"/>
        <item x="309"/>
        <item x="319"/>
        <item x="149"/>
        <item x="258"/>
        <item x="198"/>
        <item x="3"/>
        <item x="8"/>
        <item x="76"/>
        <item x="84"/>
        <item x="452"/>
        <item x="318"/>
        <item x="200"/>
        <item x="310"/>
        <item x="40"/>
        <item x="213"/>
        <item x="305"/>
        <item x="417"/>
        <item x="436"/>
        <item x="266"/>
        <item x="378"/>
        <item x="235"/>
        <item x="368"/>
        <item x="460"/>
        <item x="217"/>
        <item x="70"/>
        <item x="26"/>
        <item x="384"/>
        <item x="223"/>
        <item x="220"/>
        <item x="359"/>
        <item x="228"/>
        <item x="230"/>
        <item x="301"/>
        <item x="154"/>
        <item x="300"/>
        <item x="371"/>
        <item x="457"/>
        <item x="323"/>
        <item x="190"/>
        <item x="111"/>
        <item x="178"/>
        <item x="55"/>
        <item x="11"/>
        <item x="459"/>
        <item x="432"/>
        <item x="25"/>
        <item x="49"/>
        <item x="387"/>
        <item x="443"/>
        <item x="453"/>
        <item x="440"/>
        <item x="34"/>
        <item x="95"/>
        <item x="128"/>
        <item x="394"/>
        <item x="333"/>
        <item x="366"/>
        <item x="421"/>
        <item x="6"/>
        <item x="237"/>
        <item x="467"/>
        <item x="197"/>
        <item x="451"/>
        <item x="68"/>
        <item x="62"/>
        <item x="268"/>
        <item x="202"/>
        <item x="257"/>
        <item x="479"/>
        <item x="0"/>
        <item x="18"/>
        <item x="232"/>
        <item x="376"/>
        <item x="164"/>
        <item x="39"/>
        <item x="270"/>
        <item x="58"/>
        <item x="321"/>
        <item x="20"/>
        <item x="277"/>
        <item x="94"/>
        <item x="105"/>
        <item x="185"/>
        <item x="106"/>
        <item x="328"/>
        <item x="229"/>
        <item x="157"/>
        <item x="486"/>
        <item x="147"/>
        <item x="278"/>
        <item x="236"/>
        <item x="472"/>
        <item x="426"/>
        <item x="262"/>
        <item x="118"/>
        <item x="362"/>
        <item x="403"/>
        <item x="215"/>
        <item x="483"/>
        <item x="177"/>
        <item x="354"/>
        <item x="424"/>
        <item x="404"/>
        <item x="74"/>
        <item x="203"/>
        <item x="143"/>
        <item x="173"/>
        <item x="73"/>
        <item x="19"/>
        <item x="470"/>
        <item x="13"/>
        <item x="249"/>
        <item x="174"/>
        <item x="343"/>
        <item x="24"/>
        <item x="344"/>
        <item x="132"/>
        <item x="400"/>
        <item x="77"/>
        <item x="411"/>
        <item x="21"/>
        <item x="112"/>
        <item x="207"/>
        <item x="350"/>
        <item x="415"/>
        <item x="233"/>
        <item x="264"/>
        <item x="33"/>
        <item x="352"/>
        <item x="422"/>
        <item x="188"/>
        <item x="348"/>
        <item x="242"/>
        <item x="289"/>
        <item x="461"/>
        <item x="108"/>
        <item x="248"/>
        <item x="326"/>
        <item x="316"/>
        <item x="130"/>
        <item x="31"/>
        <item x="393"/>
        <item x="57"/>
        <item x="4"/>
        <item x="462"/>
        <item x="165"/>
        <item x="433"/>
        <item x="115"/>
        <item x="396"/>
        <item x="314"/>
        <item x="196"/>
        <item x="419"/>
        <item x="201"/>
        <item x="435"/>
        <item x="254"/>
        <item x="7"/>
        <item x="69"/>
        <item x="315"/>
        <item x="473"/>
        <item x="334"/>
        <item x="170"/>
        <item x="46"/>
        <item x="126"/>
        <item x="183"/>
        <item x="286"/>
        <item x="214"/>
        <item x="297"/>
        <item x="466"/>
        <item x="295"/>
        <item x="480"/>
        <item x="120"/>
        <item x="340"/>
        <item x="256"/>
        <item x="195"/>
        <item x="363"/>
        <item x="337"/>
        <item x="87"/>
        <item x="408"/>
        <item x="329"/>
        <item x="389"/>
        <item x="374"/>
        <item x="253"/>
        <item x="356"/>
        <item x="78"/>
        <item x="367"/>
        <item x="59"/>
        <item x="89"/>
        <item x="16"/>
        <item x="285"/>
        <item x="155"/>
        <item x="390"/>
        <item x="17"/>
        <item x="454"/>
        <item x="331"/>
        <item x="142"/>
        <item x="90"/>
        <item x="450"/>
        <item x="134"/>
        <item x="336"/>
        <item x="290"/>
        <item x="12"/>
        <item x="364"/>
        <item x="141"/>
        <item x="37"/>
        <item x="192"/>
        <item x="255"/>
        <item x="463"/>
        <item x="341"/>
        <item x="97"/>
        <item x="320"/>
        <item x="280"/>
        <item x="218"/>
        <item x="488"/>
        <item x="224"/>
        <item x="65"/>
        <item x="299"/>
        <item x="119"/>
        <item x="493"/>
        <item x="63"/>
        <item x="146"/>
        <item x="176"/>
        <item x="294"/>
        <item x="30"/>
        <item x="211"/>
        <item x="136"/>
        <item x="161"/>
        <item x="275"/>
        <item x="5"/>
        <item x="279"/>
        <item x="23"/>
        <item x="117"/>
        <item x="226"/>
        <item x="189"/>
        <item x="474"/>
        <item x="14"/>
        <item x="302"/>
        <item x="401"/>
        <item x="482"/>
        <item x="259"/>
        <item x="317"/>
        <item x="355"/>
        <item x="144"/>
        <item x="172"/>
        <item x="263"/>
        <item x="38"/>
        <item x="35"/>
        <item x="210"/>
        <item x="456"/>
        <item x="304"/>
        <item x="273"/>
        <item x="388"/>
        <item x="93"/>
        <item x="327"/>
        <item x="365"/>
        <item x="246"/>
        <item x="416"/>
        <item x="150"/>
        <item x="98"/>
        <item x="465"/>
        <item x="407"/>
        <item x="82"/>
        <item x="330"/>
        <item x="386"/>
        <item x="60"/>
        <item x="312"/>
        <item x="138"/>
        <item x="238"/>
        <item x="137"/>
        <item x="265"/>
        <item x="444"/>
        <item x="71"/>
        <item x="252"/>
        <item x="360"/>
        <item x="487"/>
        <item x="116"/>
        <item x="240"/>
        <item x="22"/>
        <item x="414"/>
        <item x="221"/>
        <item x="481"/>
        <item x="425"/>
        <item x="338"/>
        <item x="50"/>
        <item x="306"/>
        <item x="80"/>
        <item x="72"/>
        <item x="468"/>
        <item x="123"/>
        <item x="298"/>
        <item x="54"/>
        <item x="109"/>
        <item x="469"/>
        <item x="491"/>
        <item x="184"/>
        <item x="222"/>
        <item x="261"/>
        <item x="477"/>
        <item x="145"/>
        <item x="428"/>
        <item x="204"/>
        <item x="423"/>
        <item x="67"/>
        <item x="124"/>
        <item x="471"/>
        <item x="385"/>
        <item x="406"/>
        <item x="288"/>
        <item x="4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numFmtId="164" showAll="0" maxSubtotal="1"/>
    <pivotField showAll="0">
      <items count="5">
        <item x="0"/>
        <item x="1"/>
        <item x="3"/>
        <item x="2"/>
        <item t="default"/>
      </items>
    </pivotField>
    <pivotField showAll="0">
      <items count="58">
        <item x="49"/>
        <item x="30"/>
        <item x="12"/>
        <item x="24"/>
        <item x="4"/>
        <item x="5"/>
        <item x="31"/>
        <item x="45"/>
        <item x="13"/>
        <item x="36"/>
        <item x="23"/>
        <item x="28"/>
        <item x="29"/>
        <item x="34"/>
        <item x="41"/>
        <item x="3"/>
        <item x="2"/>
        <item x="0"/>
        <item x="48"/>
        <item x="53"/>
        <item x="8"/>
        <item x="33"/>
        <item x="37"/>
        <item x="42"/>
        <item x="46"/>
        <item x="52"/>
        <item x="15"/>
        <item x="35"/>
        <item x="44"/>
        <item x="10"/>
        <item x="43"/>
        <item x="27"/>
        <item x="47"/>
        <item x="14"/>
        <item x="6"/>
        <item x="20"/>
        <item x="1"/>
        <item x="56"/>
        <item x="22"/>
        <item x="7"/>
        <item x="40"/>
        <item x="19"/>
        <item x="9"/>
        <item x="16"/>
        <item x="21"/>
        <item x="17"/>
        <item x="11"/>
        <item x="32"/>
        <item x="38"/>
        <item x="51"/>
        <item x="26"/>
        <item x="39"/>
        <item x="25"/>
        <item x="18"/>
        <item x="54"/>
        <item x="55"/>
        <item x="50"/>
        <item t="default"/>
      </items>
    </pivotField>
    <pivotField showAll="0"/>
    <pivotField showAll="0"/>
    <pivotField showAll="0"/>
    <pivotField showAll="0"/>
    <pivotField showAll="0"/>
    <pivotField showAll="0"/>
    <pivotField dataField="1" numFmtId="2" showAll="0"/>
    <pivotField numFmtId="165" showAll="0"/>
    <pivotField showAll="0"/>
    <pivotField showAll="0"/>
    <pivotField showAll="0"/>
    <pivotField showAll="0"/>
    <pivotField showAll="0"/>
  </pivotFields>
  <rowFields count="1">
    <field x="1"/>
  </rowFields>
  <rowItems count="16">
    <i>
      <x v="137"/>
    </i>
    <i>
      <x v="26"/>
    </i>
    <i>
      <x v="410"/>
    </i>
    <i>
      <x v="247"/>
    </i>
    <i>
      <x v="335"/>
    </i>
    <i>
      <x v="239"/>
    </i>
    <i>
      <x v="261"/>
    </i>
    <i>
      <x v="435"/>
    </i>
    <i>
      <x v="79"/>
    </i>
    <i>
      <x v="476"/>
    </i>
    <i>
      <x v="117"/>
    </i>
    <i>
      <x v="458"/>
    </i>
    <i>
      <x v="111"/>
    </i>
    <i>
      <x v="151"/>
    </i>
    <i>
      <x v="268"/>
    </i>
    <i t="grand">
      <x/>
    </i>
  </rowItems>
  <colItems count="1">
    <i/>
  </colItems>
  <dataFields count="1">
    <dataField name="Сума з Total Goal Involvement per match" fld="15" baseField="0" baseItem="0" numFmtId="2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EC10B-0F80-4D2E-ADBA-BE80A00D4329}" name="Зведена таблиця8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7">
  <location ref="E21:F32" firstHeaderRow="1" firstDataRow="1" firstDataCol="1"/>
  <pivotFields count="22">
    <pivotField dataField="1" showAll="0"/>
    <pivotField showAll="0"/>
    <pivotField showAll="0"/>
    <pivotField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numFmtId="164" showAll="0" maxSubtotal="1"/>
    <pivotField showAll="0">
      <items count="5">
        <item x="0"/>
        <item x="1"/>
        <item x="3"/>
        <item x="2"/>
        <item t="default"/>
      </items>
    </pivotField>
    <pivotField axis="axisRow" showAll="0" measureFilter="1" sortType="descending">
      <items count="58">
        <item x="49"/>
        <item x="30"/>
        <item x="12"/>
        <item x="24"/>
        <item x="4"/>
        <item x="5"/>
        <item x="31"/>
        <item x="45"/>
        <item x="13"/>
        <item x="36"/>
        <item x="23"/>
        <item x="28"/>
        <item x="29"/>
        <item x="34"/>
        <item x="41"/>
        <item x="3"/>
        <item x="2"/>
        <item x="0"/>
        <item x="48"/>
        <item x="53"/>
        <item x="8"/>
        <item x="33"/>
        <item x="37"/>
        <item x="42"/>
        <item x="46"/>
        <item x="52"/>
        <item x="15"/>
        <item x="35"/>
        <item x="44"/>
        <item x="10"/>
        <item x="43"/>
        <item x="27"/>
        <item x="47"/>
        <item x="14"/>
        <item x="6"/>
        <item x="20"/>
        <item x="1"/>
        <item x="56"/>
        <item x="22"/>
        <item x="7"/>
        <item x="40"/>
        <item x="19"/>
        <item x="9"/>
        <item x="16"/>
        <item x="21"/>
        <item x="17"/>
        <item x="11"/>
        <item x="32"/>
        <item x="38"/>
        <item x="51"/>
        <item x="26"/>
        <item x="39"/>
        <item x="25"/>
        <item x="18"/>
        <item x="54"/>
        <item x="55"/>
        <item x="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16"/>
    </i>
    <i>
      <x v="17"/>
    </i>
    <i>
      <x v="46"/>
    </i>
    <i>
      <x v="5"/>
    </i>
    <i>
      <x v="20"/>
    </i>
    <i>
      <x v="39"/>
    </i>
    <i>
      <x v="26"/>
    </i>
    <i>
      <x v="2"/>
    </i>
    <i>
      <x v="34"/>
    </i>
    <i>
      <x v="4"/>
    </i>
    <i t="grand">
      <x/>
    </i>
  </rowItems>
  <colItems count="1">
    <i/>
  </colItems>
  <dataFields count="1">
    <dataField name="Кількість з Column1" fld="0" subtotal="count" baseField="6" baseItem="3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6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74318A-160B-4D55-BEED-91544BD34E05}" name="Зведена таблиця1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6">
  <location ref="I3:J10" firstHeaderRow="1" firstDataRow="1" firstDataCol="1"/>
  <pivotFields count="22">
    <pivotField showAll="0"/>
    <pivotField axis="axisRow" showAll="0" measureFilter="1" sortType="descending">
      <items count="501">
        <item x="399"/>
        <item x="122"/>
        <item x="311"/>
        <item x="325"/>
        <item x="28"/>
        <item x="494"/>
        <item x="227"/>
        <item x="231"/>
        <item x="372"/>
        <item x="251"/>
        <item x="53"/>
        <item x="439"/>
        <item x="370"/>
        <item x="497"/>
        <item x="437"/>
        <item x="455"/>
        <item x="427"/>
        <item x="129"/>
        <item x="383"/>
        <item x="476"/>
        <item x="409"/>
        <item x="61"/>
        <item x="380"/>
        <item x="216"/>
        <item x="27"/>
        <item x="110"/>
        <item x="464"/>
        <item x="335"/>
        <item x="159"/>
        <item x="434"/>
        <item x="139"/>
        <item x="293"/>
        <item x="182"/>
        <item x="179"/>
        <item x="345"/>
        <item x="47"/>
        <item x="135"/>
        <item x="458"/>
        <item x="175"/>
        <item x="48"/>
        <item x="199"/>
        <item x="180"/>
        <item x="92"/>
        <item x="187"/>
        <item x="274"/>
        <item x="499"/>
        <item x="441"/>
        <item x="292"/>
        <item x="166"/>
        <item x="160"/>
        <item x="475"/>
        <item x="107"/>
        <item x="496"/>
        <item x="151"/>
        <item x="296"/>
        <item x="131"/>
        <item x="169"/>
        <item x="241"/>
        <item x="377"/>
        <item x="36"/>
        <item x="447"/>
        <item x="243"/>
        <item x="247"/>
        <item x="342"/>
        <item x="10"/>
        <item x="206"/>
        <item x="438"/>
        <item x="205"/>
        <item x="43"/>
        <item x="102"/>
        <item x="193"/>
        <item x="381"/>
        <item x="127"/>
        <item x="41"/>
        <item x="478"/>
        <item x="283"/>
        <item x="412"/>
        <item x="83"/>
        <item x="361"/>
        <item x="96"/>
        <item x="153"/>
        <item x="351"/>
        <item x="324"/>
        <item x="168"/>
        <item x="113"/>
        <item x="209"/>
        <item x="291"/>
        <item x="418"/>
        <item x="85"/>
        <item x="322"/>
        <item x="485"/>
        <item x="308"/>
        <item x="446"/>
        <item x="379"/>
        <item x="391"/>
        <item x="75"/>
        <item x="349"/>
        <item x="489"/>
        <item x="307"/>
        <item x="194"/>
        <item x="52"/>
        <item x="369"/>
        <item x="29"/>
        <item x="158"/>
        <item x="225"/>
        <item x="260"/>
        <item x="101"/>
        <item x="431"/>
        <item x="100"/>
        <item x="402"/>
        <item x="181"/>
        <item x="104"/>
        <item x="282"/>
        <item x="303"/>
        <item x="212"/>
        <item x="156"/>
        <item x="498"/>
        <item x="81"/>
        <item x="191"/>
        <item x="347"/>
        <item x="397"/>
        <item x="332"/>
        <item x="125"/>
        <item x="88"/>
        <item x="121"/>
        <item x="208"/>
        <item x="64"/>
        <item x="281"/>
        <item x="449"/>
        <item x="244"/>
        <item x="171"/>
        <item x="186"/>
        <item x="269"/>
        <item x="395"/>
        <item x="375"/>
        <item x="398"/>
        <item x="448"/>
        <item x="1"/>
        <item x="245"/>
        <item x="484"/>
        <item x="287"/>
        <item x="99"/>
        <item x="56"/>
        <item x="276"/>
        <item x="32"/>
        <item x="44"/>
        <item x="86"/>
        <item x="79"/>
        <item x="133"/>
        <item x="445"/>
        <item x="250"/>
        <item x="42"/>
        <item x="353"/>
        <item x="66"/>
        <item x="373"/>
        <item x="9"/>
        <item x="284"/>
        <item x="267"/>
        <item x="51"/>
        <item x="346"/>
        <item x="420"/>
        <item x="271"/>
        <item x="492"/>
        <item x="239"/>
        <item x="140"/>
        <item x="413"/>
        <item x="219"/>
        <item x="45"/>
        <item x="495"/>
        <item x="357"/>
        <item x="339"/>
        <item x="114"/>
        <item x="313"/>
        <item x="382"/>
        <item x="490"/>
        <item x="358"/>
        <item x="234"/>
        <item x="152"/>
        <item x="405"/>
        <item x="2"/>
        <item x="91"/>
        <item x="430"/>
        <item x="162"/>
        <item x="442"/>
        <item x="15"/>
        <item x="103"/>
        <item x="163"/>
        <item x="167"/>
        <item x="410"/>
        <item x="272"/>
        <item x="148"/>
        <item x="392"/>
        <item x="309"/>
        <item x="319"/>
        <item x="149"/>
        <item x="258"/>
        <item x="198"/>
        <item x="3"/>
        <item x="8"/>
        <item x="76"/>
        <item x="84"/>
        <item x="452"/>
        <item x="318"/>
        <item x="200"/>
        <item x="310"/>
        <item x="40"/>
        <item x="213"/>
        <item x="305"/>
        <item x="417"/>
        <item x="436"/>
        <item x="266"/>
        <item x="378"/>
        <item x="235"/>
        <item x="368"/>
        <item x="460"/>
        <item x="217"/>
        <item x="70"/>
        <item x="26"/>
        <item x="384"/>
        <item x="223"/>
        <item x="220"/>
        <item x="359"/>
        <item x="228"/>
        <item x="230"/>
        <item x="301"/>
        <item x="154"/>
        <item x="300"/>
        <item x="371"/>
        <item x="457"/>
        <item x="323"/>
        <item x="190"/>
        <item x="111"/>
        <item x="178"/>
        <item x="55"/>
        <item x="11"/>
        <item x="459"/>
        <item x="432"/>
        <item x="25"/>
        <item x="49"/>
        <item x="387"/>
        <item x="443"/>
        <item x="453"/>
        <item x="440"/>
        <item x="34"/>
        <item x="95"/>
        <item x="128"/>
        <item x="394"/>
        <item x="333"/>
        <item x="366"/>
        <item x="421"/>
        <item x="6"/>
        <item x="237"/>
        <item x="467"/>
        <item x="197"/>
        <item x="451"/>
        <item x="68"/>
        <item x="62"/>
        <item x="268"/>
        <item x="202"/>
        <item x="257"/>
        <item x="479"/>
        <item x="0"/>
        <item x="18"/>
        <item x="232"/>
        <item x="376"/>
        <item x="164"/>
        <item x="39"/>
        <item x="270"/>
        <item x="58"/>
        <item x="321"/>
        <item x="20"/>
        <item x="277"/>
        <item x="94"/>
        <item x="105"/>
        <item x="185"/>
        <item x="106"/>
        <item x="328"/>
        <item x="229"/>
        <item x="157"/>
        <item x="486"/>
        <item x="147"/>
        <item x="278"/>
        <item x="236"/>
        <item x="472"/>
        <item x="426"/>
        <item x="262"/>
        <item x="118"/>
        <item x="362"/>
        <item x="403"/>
        <item x="215"/>
        <item x="483"/>
        <item x="177"/>
        <item x="354"/>
        <item x="424"/>
        <item x="404"/>
        <item x="74"/>
        <item x="203"/>
        <item x="143"/>
        <item x="173"/>
        <item x="73"/>
        <item x="19"/>
        <item x="470"/>
        <item x="13"/>
        <item x="249"/>
        <item x="174"/>
        <item x="343"/>
        <item x="24"/>
        <item x="344"/>
        <item x="132"/>
        <item x="400"/>
        <item x="77"/>
        <item x="411"/>
        <item x="21"/>
        <item x="112"/>
        <item x="207"/>
        <item x="350"/>
        <item x="415"/>
        <item x="233"/>
        <item x="264"/>
        <item x="33"/>
        <item x="352"/>
        <item x="422"/>
        <item x="188"/>
        <item x="348"/>
        <item x="242"/>
        <item x="289"/>
        <item x="461"/>
        <item x="108"/>
        <item x="248"/>
        <item x="326"/>
        <item x="316"/>
        <item x="130"/>
        <item x="31"/>
        <item x="393"/>
        <item x="57"/>
        <item x="4"/>
        <item x="462"/>
        <item x="165"/>
        <item x="433"/>
        <item x="115"/>
        <item x="396"/>
        <item x="314"/>
        <item x="196"/>
        <item x="419"/>
        <item x="201"/>
        <item x="435"/>
        <item x="254"/>
        <item x="7"/>
        <item x="69"/>
        <item x="315"/>
        <item x="473"/>
        <item x="334"/>
        <item x="170"/>
        <item x="46"/>
        <item x="126"/>
        <item x="183"/>
        <item x="286"/>
        <item x="214"/>
        <item x="297"/>
        <item x="466"/>
        <item x="295"/>
        <item x="480"/>
        <item x="120"/>
        <item x="340"/>
        <item x="256"/>
        <item x="195"/>
        <item x="363"/>
        <item x="337"/>
        <item x="87"/>
        <item x="408"/>
        <item x="329"/>
        <item x="389"/>
        <item x="374"/>
        <item x="253"/>
        <item x="356"/>
        <item x="78"/>
        <item x="367"/>
        <item x="59"/>
        <item x="89"/>
        <item x="16"/>
        <item x="285"/>
        <item x="155"/>
        <item x="390"/>
        <item x="17"/>
        <item x="454"/>
        <item x="331"/>
        <item x="142"/>
        <item x="90"/>
        <item x="450"/>
        <item x="134"/>
        <item x="336"/>
        <item x="290"/>
        <item x="12"/>
        <item x="364"/>
        <item x="141"/>
        <item x="37"/>
        <item x="192"/>
        <item x="255"/>
        <item x="463"/>
        <item x="341"/>
        <item x="97"/>
        <item x="320"/>
        <item x="280"/>
        <item x="218"/>
        <item x="488"/>
        <item x="224"/>
        <item x="65"/>
        <item x="299"/>
        <item x="119"/>
        <item x="493"/>
        <item x="63"/>
        <item x="146"/>
        <item x="176"/>
        <item x="294"/>
        <item x="30"/>
        <item x="211"/>
        <item x="136"/>
        <item x="161"/>
        <item x="275"/>
        <item x="5"/>
        <item x="279"/>
        <item x="23"/>
        <item x="117"/>
        <item x="226"/>
        <item x="189"/>
        <item x="474"/>
        <item x="14"/>
        <item x="302"/>
        <item x="401"/>
        <item x="482"/>
        <item x="259"/>
        <item x="317"/>
        <item x="355"/>
        <item x="144"/>
        <item x="172"/>
        <item x="263"/>
        <item x="38"/>
        <item x="35"/>
        <item x="210"/>
        <item x="456"/>
        <item x="304"/>
        <item x="273"/>
        <item x="388"/>
        <item x="93"/>
        <item x="327"/>
        <item x="365"/>
        <item x="246"/>
        <item x="416"/>
        <item x="150"/>
        <item x="98"/>
        <item x="465"/>
        <item x="407"/>
        <item x="82"/>
        <item x="330"/>
        <item x="386"/>
        <item x="60"/>
        <item x="312"/>
        <item x="138"/>
        <item x="238"/>
        <item x="137"/>
        <item x="265"/>
        <item x="444"/>
        <item x="71"/>
        <item x="252"/>
        <item x="360"/>
        <item x="487"/>
        <item x="116"/>
        <item x="240"/>
        <item x="22"/>
        <item x="414"/>
        <item x="221"/>
        <item x="481"/>
        <item x="425"/>
        <item x="338"/>
        <item x="50"/>
        <item x="306"/>
        <item x="80"/>
        <item x="72"/>
        <item x="468"/>
        <item x="123"/>
        <item x="298"/>
        <item x="54"/>
        <item x="109"/>
        <item x="469"/>
        <item x="491"/>
        <item x="184"/>
        <item x="222"/>
        <item x="261"/>
        <item x="477"/>
        <item x="145"/>
        <item x="428"/>
        <item x="204"/>
        <item x="423"/>
        <item x="67"/>
        <item x="124"/>
        <item x="471"/>
        <item x="385"/>
        <item x="406"/>
        <item x="288"/>
        <item x="4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3"/>
        <item x="1"/>
        <item t="default"/>
      </items>
    </pivotField>
    <pivotField axis="axisRow" showAll="0" sortType="descending">
      <items count="21">
        <item x="15"/>
        <item x="9"/>
        <item x="14"/>
        <item x="17"/>
        <item x="16"/>
        <item x="5"/>
        <item x="4"/>
        <item x="2"/>
        <item x="7"/>
        <item x="3"/>
        <item x="11"/>
        <item x="6"/>
        <item x="10"/>
        <item x="0"/>
        <item x="1"/>
        <item x="12"/>
        <item x="13"/>
        <item x="8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1"/>
        <item x="2"/>
        <item x="3"/>
        <item x="4"/>
        <item x="0"/>
        <item t="default"/>
      </items>
    </pivotField>
    <pivotField dataField="1" numFmtId="164" showAll="0" maxSubtotal="1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showAll="0"/>
    <pivotField showAll="0"/>
    <pivotField showAll="0"/>
    <pivotField showAll="0"/>
    <pivotField showAll="0"/>
  </pivotFields>
  <rowFields count="2">
    <field x="1"/>
    <field x="4"/>
  </rowFields>
  <rowItems count="7">
    <i>
      <x v="261"/>
    </i>
    <i r="1">
      <x v="13"/>
    </i>
    <i>
      <x v="137"/>
    </i>
    <i r="1">
      <x v="14"/>
    </i>
    <i>
      <x v="179"/>
    </i>
    <i r="1">
      <x v="7"/>
    </i>
    <i t="grand">
      <x/>
    </i>
  </rowItems>
  <colItems count="1">
    <i/>
  </colItems>
  <dataFields count="1">
    <dataField name="Сума з Markey Value In Millions(£)" fld="6" baseField="1" baseItem="419" numFmtId="164"/>
  </dataField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3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94671A-9BC6-4420-85AC-F29D2AB1557E}" name="Зведена таблиця4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E3:F8" firstHeaderRow="1" firstDataRow="1" firstDataCol="1"/>
  <pivotFields count="22">
    <pivotField dataField="1"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numFmtId="164" showAll="0" maxSubtotal="1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Кількість з Column1" fld="0" subtotal="count" showDataAs="percentOfTotal" baseField="6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291B0-984E-49FE-BB83-6DF4F04D7277}" name="Зведена таблиця3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43:B48" firstHeaderRow="1" firstDataRow="1" firstDataCol="1"/>
  <pivotFields count="22">
    <pivotField dataField="1" showAll="0"/>
    <pivotField showAll="0"/>
    <pivotField showAll="0"/>
    <pivotField axis="axisRow" showAll="0" sortType="de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numFmtId="164" showAll="0" maxSubtotal="1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Кількість з Column1" fld="0" subtotal="count" showDataAs="percentOfTotal" baseField="6" baseItem="3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B1394-6463-4A27-8565-C33CEC7F3DBF}" name="Зведена таблиця9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 chartFormat="20">
  <location ref="E43:F55" firstHeaderRow="1" firstDataRow="1" firstDataCol="1"/>
  <pivotFields count="22">
    <pivotField showAll="0"/>
    <pivotField axis="axisRow" showAll="0" measureFilter="1" sortType="descending">
      <items count="501">
        <item x="399"/>
        <item x="122"/>
        <item x="311"/>
        <item x="325"/>
        <item x="28"/>
        <item x="494"/>
        <item x="227"/>
        <item x="231"/>
        <item x="372"/>
        <item x="251"/>
        <item x="53"/>
        <item x="439"/>
        <item x="370"/>
        <item x="497"/>
        <item x="437"/>
        <item x="455"/>
        <item x="427"/>
        <item x="129"/>
        <item x="383"/>
        <item x="476"/>
        <item x="409"/>
        <item x="61"/>
        <item x="380"/>
        <item x="216"/>
        <item x="27"/>
        <item x="110"/>
        <item x="464"/>
        <item x="335"/>
        <item x="159"/>
        <item x="434"/>
        <item x="139"/>
        <item x="293"/>
        <item x="182"/>
        <item x="179"/>
        <item x="345"/>
        <item x="47"/>
        <item x="135"/>
        <item x="458"/>
        <item x="175"/>
        <item x="48"/>
        <item x="199"/>
        <item x="180"/>
        <item x="92"/>
        <item x="187"/>
        <item x="274"/>
        <item x="499"/>
        <item x="441"/>
        <item x="292"/>
        <item x="166"/>
        <item x="160"/>
        <item x="475"/>
        <item x="107"/>
        <item x="496"/>
        <item x="151"/>
        <item x="296"/>
        <item x="131"/>
        <item x="169"/>
        <item x="241"/>
        <item x="377"/>
        <item x="36"/>
        <item x="447"/>
        <item x="243"/>
        <item x="247"/>
        <item x="342"/>
        <item x="10"/>
        <item x="206"/>
        <item x="438"/>
        <item x="205"/>
        <item x="43"/>
        <item x="102"/>
        <item x="193"/>
        <item x="381"/>
        <item x="127"/>
        <item x="41"/>
        <item x="478"/>
        <item x="283"/>
        <item x="412"/>
        <item x="83"/>
        <item x="361"/>
        <item x="96"/>
        <item x="153"/>
        <item x="351"/>
        <item x="324"/>
        <item x="168"/>
        <item x="113"/>
        <item x="209"/>
        <item x="291"/>
        <item x="418"/>
        <item x="85"/>
        <item x="322"/>
        <item x="485"/>
        <item x="308"/>
        <item x="446"/>
        <item x="379"/>
        <item x="391"/>
        <item x="75"/>
        <item x="349"/>
        <item x="489"/>
        <item x="307"/>
        <item x="194"/>
        <item x="52"/>
        <item x="369"/>
        <item x="29"/>
        <item x="158"/>
        <item x="225"/>
        <item x="260"/>
        <item x="101"/>
        <item x="431"/>
        <item x="100"/>
        <item x="402"/>
        <item x="181"/>
        <item x="104"/>
        <item x="282"/>
        <item x="303"/>
        <item x="212"/>
        <item x="156"/>
        <item x="498"/>
        <item x="81"/>
        <item x="191"/>
        <item x="347"/>
        <item x="397"/>
        <item x="332"/>
        <item x="125"/>
        <item x="88"/>
        <item x="121"/>
        <item x="208"/>
        <item x="64"/>
        <item x="281"/>
        <item x="449"/>
        <item x="244"/>
        <item x="171"/>
        <item x="186"/>
        <item x="269"/>
        <item x="395"/>
        <item x="375"/>
        <item x="398"/>
        <item x="448"/>
        <item x="1"/>
        <item x="245"/>
        <item x="484"/>
        <item x="287"/>
        <item x="99"/>
        <item x="56"/>
        <item x="276"/>
        <item x="32"/>
        <item x="44"/>
        <item x="86"/>
        <item x="79"/>
        <item x="133"/>
        <item x="445"/>
        <item x="250"/>
        <item x="42"/>
        <item x="353"/>
        <item x="66"/>
        <item x="373"/>
        <item x="9"/>
        <item x="284"/>
        <item x="267"/>
        <item x="51"/>
        <item x="346"/>
        <item x="420"/>
        <item x="271"/>
        <item x="492"/>
        <item x="239"/>
        <item x="140"/>
        <item x="413"/>
        <item x="219"/>
        <item x="45"/>
        <item x="495"/>
        <item x="357"/>
        <item x="339"/>
        <item x="114"/>
        <item x="313"/>
        <item x="382"/>
        <item x="490"/>
        <item x="358"/>
        <item x="234"/>
        <item x="152"/>
        <item x="405"/>
        <item x="2"/>
        <item x="91"/>
        <item x="430"/>
        <item x="162"/>
        <item x="442"/>
        <item x="15"/>
        <item x="103"/>
        <item x="163"/>
        <item x="167"/>
        <item x="410"/>
        <item x="272"/>
        <item x="148"/>
        <item x="392"/>
        <item x="309"/>
        <item x="319"/>
        <item x="149"/>
        <item x="258"/>
        <item x="198"/>
        <item x="3"/>
        <item x="8"/>
        <item x="76"/>
        <item x="84"/>
        <item x="452"/>
        <item x="318"/>
        <item x="200"/>
        <item x="310"/>
        <item x="40"/>
        <item x="213"/>
        <item x="305"/>
        <item x="417"/>
        <item x="436"/>
        <item x="266"/>
        <item x="378"/>
        <item x="235"/>
        <item x="368"/>
        <item x="460"/>
        <item x="217"/>
        <item x="70"/>
        <item x="26"/>
        <item x="384"/>
        <item x="223"/>
        <item x="220"/>
        <item x="359"/>
        <item x="228"/>
        <item x="230"/>
        <item x="301"/>
        <item x="154"/>
        <item x="300"/>
        <item x="371"/>
        <item x="457"/>
        <item x="323"/>
        <item x="190"/>
        <item x="111"/>
        <item x="178"/>
        <item x="55"/>
        <item x="11"/>
        <item x="459"/>
        <item x="432"/>
        <item x="25"/>
        <item x="49"/>
        <item x="387"/>
        <item x="443"/>
        <item x="453"/>
        <item x="440"/>
        <item x="34"/>
        <item x="95"/>
        <item x="128"/>
        <item x="394"/>
        <item x="333"/>
        <item x="366"/>
        <item x="421"/>
        <item x="6"/>
        <item x="237"/>
        <item x="467"/>
        <item x="197"/>
        <item x="451"/>
        <item x="68"/>
        <item x="62"/>
        <item x="268"/>
        <item x="202"/>
        <item x="257"/>
        <item x="479"/>
        <item x="0"/>
        <item x="18"/>
        <item x="232"/>
        <item x="376"/>
        <item x="164"/>
        <item x="39"/>
        <item x="270"/>
        <item x="58"/>
        <item x="321"/>
        <item x="20"/>
        <item x="277"/>
        <item x="94"/>
        <item x="105"/>
        <item x="185"/>
        <item x="106"/>
        <item x="328"/>
        <item x="229"/>
        <item x="157"/>
        <item x="486"/>
        <item x="147"/>
        <item x="278"/>
        <item x="236"/>
        <item x="472"/>
        <item x="426"/>
        <item x="262"/>
        <item x="118"/>
        <item x="362"/>
        <item x="403"/>
        <item x="215"/>
        <item x="483"/>
        <item x="177"/>
        <item x="354"/>
        <item x="424"/>
        <item x="404"/>
        <item x="74"/>
        <item x="203"/>
        <item x="143"/>
        <item x="173"/>
        <item x="73"/>
        <item x="19"/>
        <item x="470"/>
        <item x="13"/>
        <item x="249"/>
        <item x="174"/>
        <item x="343"/>
        <item x="24"/>
        <item x="344"/>
        <item x="132"/>
        <item x="400"/>
        <item x="77"/>
        <item x="411"/>
        <item x="21"/>
        <item x="112"/>
        <item x="207"/>
        <item x="350"/>
        <item x="415"/>
        <item x="233"/>
        <item x="264"/>
        <item x="33"/>
        <item x="352"/>
        <item x="422"/>
        <item x="188"/>
        <item x="348"/>
        <item x="242"/>
        <item x="289"/>
        <item x="461"/>
        <item x="108"/>
        <item x="248"/>
        <item x="326"/>
        <item x="316"/>
        <item x="130"/>
        <item x="31"/>
        <item x="393"/>
        <item x="57"/>
        <item x="4"/>
        <item x="462"/>
        <item x="165"/>
        <item x="433"/>
        <item x="115"/>
        <item x="396"/>
        <item x="314"/>
        <item x="196"/>
        <item x="419"/>
        <item x="201"/>
        <item x="435"/>
        <item x="254"/>
        <item x="7"/>
        <item x="69"/>
        <item x="315"/>
        <item x="473"/>
        <item x="334"/>
        <item x="170"/>
        <item x="46"/>
        <item x="126"/>
        <item x="183"/>
        <item x="286"/>
        <item x="214"/>
        <item x="297"/>
        <item x="466"/>
        <item x="295"/>
        <item x="480"/>
        <item x="120"/>
        <item x="340"/>
        <item x="256"/>
        <item x="195"/>
        <item x="363"/>
        <item x="337"/>
        <item x="87"/>
        <item x="408"/>
        <item x="329"/>
        <item x="389"/>
        <item x="374"/>
        <item x="253"/>
        <item x="356"/>
        <item x="78"/>
        <item x="367"/>
        <item x="59"/>
        <item x="89"/>
        <item x="16"/>
        <item x="285"/>
        <item x="155"/>
        <item x="390"/>
        <item x="17"/>
        <item x="454"/>
        <item x="331"/>
        <item x="142"/>
        <item x="90"/>
        <item x="450"/>
        <item x="134"/>
        <item x="336"/>
        <item x="290"/>
        <item x="12"/>
        <item x="364"/>
        <item x="141"/>
        <item x="37"/>
        <item x="192"/>
        <item x="255"/>
        <item x="463"/>
        <item x="341"/>
        <item x="97"/>
        <item x="320"/>
        <item x="280"/>
        <item x="218"/>
        <item x="488"/>
        <item x="224"/>
        <item x="65"/>
        <item x="299"/>
        <item x="119"/>
        <item x="493"/>
        <item x="63"/>
        <item x="146"/>
        <item x="176"/>
        <item x="294"/>
        <item x="30"/>
        <item x="211"/>
        <item x="136"/>
        <item x="161"/>
        <item x="275"/>
        <item x="5"/>
        <item x="279"/>
        <item x="23"/>
        <item x="117"/>
        <item x="226"/>
        <item x="189"/>
        <item x="474"/>
        <item x="14"/>
        <item x="302"/>
        <item x="401"/>
        <item x="482"/>
        <item x="259"/>
        <item x="317"/>
        <item x="355"/>
        <item x="144"/>
        <item x="172"/>
        <item x="263"/>
        <item x="38"/>
        <item x="35"/>
        <item x="210"/>
        <item x="456"/>
        <item x="304"/>
        <item x="273"/>
        <item x="388"/>
        <item x="93"/>
        <item x="327"/>
        <item x="365"/>
        <item x="246"/>
        <item x="416"/>
        <item x="150"/>
        <item x="98"/>
        <item x="465"/>
        <item x="407"/>
        <item x="82"/>
        <item x="330"/>
        <item x="386"/>
        <item x="60"/>
        <item x="312"/>
        <item x="138"/>
        <item x="238"/>
        <item x="137"/>
        <item x="265"/>
        <item x="444"/>
        <item x="71"/>
        <item x="252"/>
        <item x="360"/>
        <item x="487"/>
        <item x="116"/>
        <item x="240"/>
        <item x="22"/>
        <item x="414"/>
        <item x="221"/>
        <item x="481"/>
        <item x="425"/>
        <item x="338"/>
        <item x="50"/>
        <item x="306"/>
        <item x="80"/>
        <item x="72"/>
        <item x="468"/>
        <item x="123"/>
        <item x="298"/>
        <item x="54"/>
        <item x="109"/>
        <item x="469"/>
        <item x="491"/>
        <item x="184"/>
        <item x="222"/>
        <item x="261"/>
        <item x="477"/>
        <item x="145"/>
        <item x="428"/>
        <item x="204"/>
        <item x="423"/>
        <item x="67"/>
        <item x="124"/>
        <item x="471"/>
        <item x="385"/>
        <item x="406"/>
        <item x="288"/>
        <item x="4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numFmtId="164" showAll="0" maxSubtotal="1"/>
    <pivotField showAll="0">
      <items count="5">
        <item x="0"/>
        <item x="1"/>
        <item x="3"/>
        <item x="2"/>
        <item t="default"/>
      </items>
    </pivotField>
    <pivotField showAll="0">
      <items count="58">
        <item x="49"/>
        <item x="30"/>
        <item x="12"/>
        <item x="24"/>
        <item x="4"/>
        <item x="5"/>
        <item x="31"/>
        <item x="45"/>
        <item x="13"/>
        <item x="36"/>
        <item x="23"/>
        <item x="28"/>
        <item x="29"/>
        <item x="34"/>
        <item x="41"/>
        <item x="3"/>
        <item x="2"/>
        <item x="0"/>
        <item x="48"/>
        <item x="53"/>
        <item x="8"/>
        <item x="33"/>
        <item x="37"/>
        <item x="42"/>
        <item x="46"/>
        <item x="52"/>
        <item x="15"/>
        <item x="35"/>
        <item x="44"/>
        <item x="10"/>
        <item x="43"/>
        <item x="27"/>
        <item x="47"/>
        <item x="14"/>
        <item x="6"/>
        <item x="20"/>
        <item x="1"/>
        <item x="56"/>
        <item x="22"/>
        <item x="7"/>
        <item x="40"/>
        <item x="19"/>
        <item x="9"/>
        <item x="16"/>
        <item x="21"/>
        <item x="17"/>
        <item x="11"/>
        <item x="32"/>
        <item x="38"/>
        <item x="51"/>
        <item x="26"/>
        <item x="39"/>
        <item x="25"/>
        <item x="18"/>
        <item x="54"/>
        <item x="55"/>
        <item x="50"/>
        <item t="default"/>
      </items>
    </pivotField>
    <pivotField showAll="0"/>
    <pivotField showAll="0"/>
    <pivotField showAll="0"/>
    <pivotField showAll="0"/>
    <pivotField showAll="0"/>
    <pivotField dataField="1" showAll="0">
      <items count="24">
        <item x="7"/>
        <item x="14"/>
        <item x="8"/>
        <item x="11"/>
        <item x="5"/>
        <item x="3"/>
        <item x="6"/>
        <item x="10"/>
        <item x="12"/>
        <item x="2"/>
        <item x="13"/>
        <item x="17"/>
        <item x="15"/>
        <item x="9"/>
        <item x="16"/>
        <item x="20"/>
        <item x="19"/>
        <item x="1"/>
        <item x="0"/>
        <item x="21"/>
        <item x="4"/>
        <item x="22"/>
        <item x="18"/>
        <item t="default"/>
      </items>
    </pivotField>
    <pivotField numFmtId="2" showAll="0"/>
    <pivotField numFmtId="165"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 v="410"/>
    </i>
    <i>
      <x v="247"/>
    </i>
    <i>
      <x v="239"/>
    </i>
    <i>
      <x v="335"/>
    </i>
    <i>
      <x v="435"/>
    </i>
    <i>
      <x v="268"/>
    </i>
    <i>
      <x v="458"/>
    </i>
    <i>
      <x v="79"/>
    </i>
    <i>
      <x v="261"/>
    </i>
    <i>
      <x v="137"/>
    </i>
    <i>
      <x v="246"/>
    </i>
    <i t="grand">
      <x/>
    </i>
  </rowItems>
  <colItems count="1">
    <i/>
  </colItems>
  <dataFields count="1">
    <dataField name="Сума з Total Goal Involvement" fld="14" baseField="0" baseItem="0"/>
  </dataFields>
  <chartFormats count="11"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7"/>
          </reference>
        </references>
      </pivotArea>
    </chartFormat>
    <chartFormat chart="1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9"/>
          </reference>
        </references>
      </pivotArea>
    </chartFormat>
    <chartFormat chart="1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5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5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8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8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1"/>
          </reference>
        </references>
      </pivotArea>
    </chartFormat>
    <chartFormat chart="1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7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5448E-42F6-4892-B8AF-551CA8090121}" name="Зведена таблиця7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7:A8" firstHeaderRow="1" firstDataRow="1" firstDataCol="0"/>
  <pivotFields count="22"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dataField="1" numFmtId="164" showAll="0" maxSubtotal="1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Кількість з Markey Value In Millions(£)" fld="6" subtotal="count" baseField="0" baseItem="0"/>
  </dataField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CFDA27-330E-4691-A5D4-BB4534FAFA17}" name="Зведена таблиця6" cacheId="0" applyNumberFormats="0" applyBorderFormats="0" applyFontFormats="0" applyPatternFormats="0" applyAlignmentFormats="0" applyWidthHeightFormats="1" dataCaption="Значення" updatedVersion="8" minRefreshableVersion="3" useAutoFormatting="1" itemPrintTitles="1" createdVersion="8" indent="0" outline="1" outlineData="1" multipleFieldFilters="0">
  <location ref="A3:A4" firstHeaderRow="1" firstDataRow="1" firstDataCol="0"/>
  <pivotFields count="22"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5">
        <item x="2"/>
        <item x="0"/>
        <item x="3"/>
        <item x="1"/>
        <item t="default"/>
      </items>
    </pivotField>
    <pivotField showAll="0"/>
    <pivotField showAll="0">
      <items count="6">
        <item x="1"/>
        <item x="2"/>
        <item x="3"/>
        <item x="4"/>
        <item x="0"/>
        <item t="default"/>
      </items>
    </pivotField>
    <pivotField dataField="1" numFmtId="164" showAll="0" maxSubtotal="1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65"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Середнє з Markey Value In Millions(£)" fld="6" subtotal="average" baseField="0" baseItem="0" numFmtId="16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CEE5064-0EA7-4E4E-8502-27E1E29C3C8F}" autoFormatId="16" applyNumberFormats="0" applyBorderFormats="0" applyFontFormats="0" applyPatternFormats="0" applyAlignmentFormats="0" applyWidthHeightFormats="0">
  <queryTableRefresh nextId="23">
    <queryTableFields count="22">
      <queryTableField id="1" name="Column1" tableColumnId="1"/>
      <queryTableField id="2" name="Name" tableColumnId="2"/>
      <queryTableField id="3" name="Position" tableColumnId="3"/>
      <queryTableField id="22" dataBound="0" tableColumnId="22"/>
      <queryTableField id="4" name="Age" tableColumnId="4"/>
      <queryTableField id="17" dataBound="0" tableColumnId="17"/>
      <queryTableField id="5" name="Markey Value In Millions(£)" tableColumnId="5"/>
      <queryTableField id="21" dataBound="0" tableColumnId="21"/>
      <queryTableField id="6" name="Country" tableColumnId="6"/>
      <queryTableField id="7" name="Club" tableColumnId="7"/>
      <queryTableField id="8" name="Matches" tableColumnId="8"/>
      <queryTableField id="9" name="Goals" tableColumnId="9"/>
      <queryTableField id="10" name="Own Goals" tableColumnId="10"/>
      <queryTableField id="11" name="Assists" tableColumnId="11"/>
      <queryTableField id="18" dataBound="0" tableColumnId="18"/>
      <queryTableField id="19" dataBound="0" tableColumnId="19"/>
      <queryTableField id="20" dataBound="0" tableColumnId="20"/>
      <queryTableField id="12" name="Yellow Cards" tableColumnId="12"/>
      <queryTableField id="13" name="Second Yellow Cards" tableColumnId="13"/>
      <queryTableField id="14" name="Red Cards" tableColumnId="14"/>
      <queryTableField id="15" name="Number Of Substitute In" tableColumnId="15"/>
      <queryTableField id="16" name="Number Of Substitute Out" tableColumnId="16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Age_Categories" xr10:uid="{BA2B7E4E-F51C-4CB4-9E47-7D48742FA894}" sourceName="Age Categories">
  <pivotTables>
    <pivotTable tabId="3" name="Зведена таблиця1"/>
    <pivotTable tabId="5" name="Зведена таблиця6"/>
    <pivotTable tabId="5" name="Зведена таблиця7"/>
    <pivotTable tabId="3" name="Зведена таблиця2"/>
    <pivotTable tabId="3" name="Зведена таблиця3"/>
    <pivotTable tabId="3" name="Зведена таблиця4"/>
    <pivotTable tabId="3" name="Зведена таблиця8"/>
    <pivotTable tabId="3" name="Зведена таблиця9"/>
    <pivotTable tabId="3" name="Зведена таблиця11"/>
    <pivotTable tabId="3" name="Зведена таблиця12"/>
  </pivotTables>
  <data>
    <tabular pivotCacheId="716414865" showMissing="0" crossFilter="none">
      <items count="5">
        <i x="1" s="1"/>
        <i x="2" s="1"/>
        <i x="3" s="1"/>
        <i x="4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Position_Category" xr10:uid="{BAAAF33D-2BE2-4844-90FD-59E77210397E}" sourceName="Position Category">
  <pivotTables>
    <pivotTable tabId="3" name="Зведена таблиця1"/>
    <pivotTable tabId="5" name="Зведена таблиця6"/>
    <pivotTable tabId="5" name="Зведена таблиця7"/>
    <pivotTable tabId="3" name="Зведена таблиця2"/>
    <pivotTable tabId="3" name="Зведена таблиця3"/>
    <pivotTable tabId="3" name="Зведена таблиця4"/>
    <pivotTable tabId="3" name="Зведена таблиця8"/>
    <pivotTable tabId="3" name="Зведена таблиця9"/>
    <pivotTable tabId="3" name="Зведена таблиця11"/>
    <pivotTable tabId="3" name="Зведена таблиця12"/>
  </pivotTables>
  <data>
    <tabular pivotCacheId="716414865">
      <items count="4">
        <i x="2" s="1"/>
        <i x="0" s="1"/>
        <i x="3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Роздільник_Price_Category" xr10:uid="{564D14F3-D5F2-4CD2-979A-200FDE6155FB}" sourceName="Price Category">
  <pivotTables>
    <pivotTable tabId="3" name="Зведена таблиця8"/>
    <pivotTable tabId="5" name="Зведена таблиця6"/>
    <pivotTable tabId="5" name="Зведена таблиця7"/>
    <pivotTable tabId="3" name="Зведена таблиця1"/>
    <pivotTable tabId="3" name="Зведена таблиця2"/>
    <pivotTable tabId="3" name="Зведена таблиця3"/>
    <pivotTable tabId="3" name="Зведена таблиця4"/>
    <pivotTable tabId="3" name="Зведена таблиця9"/>
    <pivotTable tabId="3" name="Зведена таблиця11"/>
    <pivotTable tabId="3" name="Зведена таблиця12"/>
  </pivotTables>
  <data>
    <tabular pivotCacheId="716414865" sortOrder="descending">
      <items count="4">
        <i x="2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 Categories" xr10:uid="{4AC0A562-61D4-400D-8AD8-DE6C79112163}" cache="Роздільник_Age_Categories" caption="Age Categories" rowHeight="241300"/>
  <slicer name="Position Category" xr10:uid="{24149ACC-DA2D-43CF-A4B5-D6FFA0740998}" cache="Роздільник_Position_Category" caption="Position Category" rowHeight="273050"/>
  <slicer name="Price Category" xr10:uid="{ABDEEDDB-2473-4C48-A7B3-A67CBC8B2588}" cache="Роздільник_Price_Category" caption="Price Category" rowHeight="2730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5770F8-8438-491F-B2A0-66EC579E0F60}" name="players" displayName="players" ref="A1:V501" tableType="queryTable" totalsRowShown="0">
  <autoFilter ref="A1:V501" xr:uid="{935770F8-8438-491F-B2A0-66EC579E0F60}"/>
  <sortState xmlns:xlrd2="http://schemas.microsoft.com/office/spreadsheetml/2017/richdata2" ref="A2:V501">
    <sortCondition descending="1" ref="G1:G501"/>
  </sortState>
  <tableColumns count="22">
    <tableColumn id="1" xr3:uid="{074580BC-B958-4E33-82A8-CDC63FA6EC02}" uniqueName="1" name="Column1" queryTableFieldId="1"/>
    <tableColumn id="2" xr3:uid="{2FB964FA-1028-4444-85EF-ABE811330441}" uniqueName="2" name="Name" queryTableFieldId="2" dataDxfId="11"/>
    <tableColumn id="3" xr3:uid="{A0879323-5620-4582-A0BB-6BBE7684BB02}" uniqueName="3" name="Position" queryTableFieldId="3" dataDxfId="10"/>
    <tableColumn id="22" xr3:uid="{8A5897EE-FF76-43B5-BD7B-3B23881926C0}" uniqueName="22" name="Position Category" queryTableFieldId="22" dataDxfId="9">
      <calculatedColumnFormula array="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calculatedColumnFormula>
    </tableColumn>
    <tableColumn id="4" xr3:uid="{1F93101B-6BEE-4409-80C0-CF969BFECF61}" uniqueName="4" name="Age" queryTableFieldId="4"/>
    <tableColumn id="17" xr3:uid="{51A7BDFA-0072-447A-B88D-92D34B3BB187}" uniqueName="17" name="Age Categories" queryTableFieldId="17" dataDxfId="8">
      <calculatedColumnFormula>IF(players[[#This Row],[Age]]&gt;34,"Veterans",IF(players[[#This Row],[Age]]&gt;29,"Experienced",IF(players[[#This Row],[Age]]&gt;23,"Career peak",IF(players[[#This Row],[Age]]&gt;19,"Young","Teenagers"))))</calculatedColumnFormula>
    </tableColumn>
    <tableColumn id="5" xr3:uid="{9CFC91A1-471F-4839-82C2-534B83C929C7}" uniqueName="5" name="Markey Value In Millions(£)" queryTableFieldId="5" dataDxfId="7"/>
    <tableColumn id="21" xr3:uid="{4CAB7558-36CE-44CE-9712-BDB527410FC8}" uniqueName="21" name="Price Category" queryTableFieldId="21" dataDxfId="6">
      <calculatedColumnFormula>IF(players[[#This Row],[Markey Value In Millions(£)]]&gt;89,"Enormous Price",IF(players[[#This Row],[Markey Value In Millions(£)]]&gt;54,"High Price",IF(players[[#This Row],[Markey Value In Millions(£)]]&gt;19,"Middle Price","Low Price")))</calculatedColumnFormula>
    </tableColumn>
    <tableColumn id="6" xr3:uid="{E72EB907-20BA-4850-880F-39F47B4246F4}" uniqueName="6" name="Country" queryTableFieldId="6" dataDxfId="5"/>
    <tableColumn id="7" xr3:uid="{CE5A69FE-8322-4855-855A-D835162C0170}" uniqueName="7" name="Club" queryTableFieldId="7" dataDxfId="4"/>
    <tableColumn id="8" xr3:uid="{DF7DCBE4-487D-4E96-9D13-720CA1945037}" uniqueName="8" name="Matches" queryTableFieldId="8"/>
    <tableColumn id="9" xr3:uid="{B1A3D1E9-B7A0-4D87-9916-534131749419}" uniqueName="9" name="Goals" queryTableFieldId="9"/>
    <tableColumn id="10" xr3:uid="{AFCDEECE-48FC-4DFE-8EB5-9B61EAE92103}" uniqueName="10" name="Own Goals" queryTableFieldId="10"/>
    <tableColumn id="11" xr3:uid="{9C84A858-ADAA-4B0A-AA7D-053076103C98}" uniqueName="11" name="Assists" queryTableFieldId="11"/>
    <tableColumn id="18" xr3:uid="{B9B72834-6B0C-488A-B955-7772882C1F56}" uniqueName="18" name="Total Goal Involvement" queryTableFieldId="18" dataDxfId="3">
      <calculatedColumnFormula>players[[#This Row],[Goals]]+players[[#This Row],[Assists]]</calculatedColumnFormula>
    </tableColumn>
    <tableColumn id="19" xr3:uid="{582C8C72-C1E0-49A1-9B34-578E2FC04712}" uniqueName="19" name="Total Goal Involvement per match" queryTableFieldId="19" dataDxfId="2">
      <calculatedColumnFormula>IF(players[[#This Row],[Matches]]&gt;0,players[[#This Row],[Total Goal Involvement]]/players[[#This Row],[Matches]],0)</calculatedColumnFormula>
    </tableColumn>
    <tableColumn id="20" xr3:uid="{CFF15218-C2DE-4CE0-8658-5455B8734011}" uniqueName="20" name="Price To Earnings Ratio" queryTableFieldId="20" dataDxfId="1">
      <calculatedColumnFormula>players[[#This Row],[Total Goal Involvement per match]]/players[[#This Row],[Markey Value In Millions(£)]]</calculatedColumnFormula>
    </tableColumn>
    <tableColumn id="12" xr3:uid="{9E45CAFA-9B22-4AF5-942F-B2A104A7C239}" uniqueName="12" name="Yellow Cards" queryTableFieldId="12"/>
    <tableColumn id="13" xr3:uid="{AC42E858-8696-4509-9E1D-DC0AB700FACB}" uniqueName="13" name="Second Yellow Cards" queryTableFieldId="13"/>
    <tableColumn id="14" xr3:uid="{0862EC70-0D7B-42DE-B7F5-C2788C86482D}" uniqueName="14" name="Red Cards" queryTableFieldId="14"/>
    <tableColumn id="15" xr3:uid="{FEEF597F-4F7A-4B81-B7C7-0AC4C0530B3B}" uniqueName="15" name="Number Of Substitute In" queryTableFieldId="15"/>
    <tableColumn id="16" xr3:uid="{2DEA6C97-6E23-4311-8F50-922AAC476E4D}" uniqueName="16" name="Number Of Substitute Out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56F9A-325B-4B83-A201-10DA3BCDB7DB}">
  <dimension ref="A1:V501"/>
  <sheetViews>
    <sheetView workbookViewId="0">
      <selection activeCell="Q1" sqref="Q1"/>
    </sheetView>
  </sheetViews>
  <sheetFormatPr defaultRowHeight="15" x14ac:dyDescent="0.25"/>
  <cols>
    <col min="1" max="1" width="11.140625" bestFit="1" customWidth="1"/>
    <col min="2" max="2" width="26.7109375" bestFit="1" customWidth="1"/>
    <col min="3" max="3" width="18.28515625" bestFit="1" customWidth="1"/>
    <col min="4" max="4" width="19" bestFit="1" customWidth="1"/>
    <col min="5" max="5" width="6.7109375" bestFit="1" customWidth="1"/>
    <col min="6" max="6" width="16.7109375" bestFit="1" customWidth="1"/>
    <col min="7" max="7" width="28.42578125" bestFit="1" customWidth="1"/>
    <col min="8" max="8" width="16.140625" bestFit="1" customWidth="1"/>
    <col min="9" max="9" width="14.42578125" bestFit="1" customWidth="1"/>
    <col min="10" max="10" width="28.5703125" bestFit="1" customWidth="1"/>
    <col min="11" max="11" width="10.85546875" bestFit="1" customWidth="1"/>
    <col min="12" max="12" width="8.28515625" bestFit="1" customWidth="1"/>
    <col min="13" max="13" width="12.85546875" bestFit="1" customWidth="1"/>
    <col min="14" max="14" width="9.28515625" bestFit="1" customWidth="1"/>
    <col min="15" max="15" width="24.42578125" bestFit="1" customWidth="1"/>
    <col min="16" max="16" width="34" style="1" bestFit="1" customWidth="1"/>
    <col min="17" max="17" width="23.42578125" style="3" bestFit="1" customWidth="1"/>
    <col min="18" max="18" width="14.7109375" bestFit="1" customWidth="1"/>
    <col min="19" max="19" width="21.85546875" bestFit="1" customWidth="1"/>
    <col min="20" max="20" width="12" bestFit="1" customWidth="1"/>
    <col min="21" max="21" width="25.28515625" bestFit="1" customWidth="1"/>
    <col min="22" max="22" width="26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680</v>
      </c>
      <c r="E1" t="s">
        <v>3</v>
      </c>
      <c r="F1" t="s">
        <v>667</v>
      </c>
      <c r="G1" t="s">
        <v>4</v>
      </c>
      <c r="H1" t="s">
        <v>675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668</v>
      </c>
      <c r="P1" s="1" t="s">
        <v>669</v>
      </c>
      <c r="Q1" s="3" t="s">
        <v>670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</row>
    <row r="2" spans="1:22" x14ac:dyDescent="0.25">
      <c r="A2">
        <v>0</v>
      </c>
      <c r="B2" t="s">
        <v>16</v>
      </c>
      <c r="C2" t="s">
        <v>17</v>
      </c>
      <c r="D2" t="str" cm="1">
        <f t="array" ref="D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">
        <v>22</v>
      </c>
      <c r="F2" t="str">
        <f>IF(players[[#This Row],[Age]]&gt;34,"Veterans",IF(players[[#This Row],[Age]]&gt;29,"Experienced",IF(players[[#This Row],[Age]]&gt;23,"Career peak",IF(players[[#This Row],[Age]]&gt;19,"Young","Teenagers"))))</f>
        <v>Young</v>
      </c>
      <c r="G2" s="2">
        <v>144</v>
      </c>
      <c r="H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2" t="s">
        <v>18</v>
      </c>
      <c r="J2" t="s">
        <v>19</v>
      </c>
      <c r="K2">
        <v>16</v>
      </c>
      <c r="L2">
        <v>7</v>
      </c>
      <c r="M2">
        <v>0</v>
      </c>
      <c r="N2">
        <v>11</v>
      </c>
      <c r="O2">
        <f>players[[#This Row],[Goals]]+players[[#This Row],[Assists]]</f>
        <v>18</v>
      </c>
      <c r="P2" s="1">
        <f>IF(players[[#This Row],[Matches]]&gt;0,players[[#This Row],[Total Goal Involvement]]/players[[#This Row],[Matches]],0)</f>
        <v>1.125</v>
      </c>
      <c r="Q2" s="3">
        <f>players[[#This Row],[Total Goal Involvement per match]]/players[[#This Row],[Markey Value In Millions(£)]]</f>
        <v>7.8125E-3</v>
      </c>
      <c r="R2">
        <v>3</v>
      </c>
      <c r="S2">
        <v>0</v>
      </c>
      <c r="T2">
        <v>0</v>
      </c>
      <c r="U2">
        <v>0</v>
      </c>
      <c r="V2">
        <v>8</v>
      </c>
    </row>
    <row r="3" spans="1:22" x14ac:dyDescent="0.25">
      <c r="A3">
        <v>1</v>
      </c>
      <c r="B3" t="s">
        <v>20</v>
      </c>
      <c r="C3" t="s">
        <v>17</v>
      </c>
      <c r="D3" t="str" cm="1">
        <f t="array" ref="D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">
        <v>21</v>
      </c>
      <c r="F3" t="str">
        <f>IF(players[[#This Row],[Age]]&gt;34,"Veterans",IF(players[[#This Row],[Age]]&gt;29,"Experienced",IF(players[[#This Row],[Age]]&gt;23,"Career peak",IF(players[[#This Row],[Age]]&gt;19,"Young","Teenagers"))))</f>
        <v>Young</v>
      </c>
      <c r="G3" s="2">
        <v>135</v>
      </c>
      <c r="H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3" t="s">
        <v>21</v>
      </c>
      <c r="J3" t="s">
        <v>22</v>
      </c>
      <c r="K3">
        <v>10</v>
      </c>
      <c r="L3">
        <v>13</v>
      </c>
      <c r="M3">
        <v>0</v>
      </c>
      <c r="N3">
        <v>4</v>
      </c>
      <c r="O3">
        <f>players[[#This Row],[Goals]]+players[[#This Row],[Assists]]</f>
        <v>17</v>
      </c>
      <c r="P3" s="1">
        <f>IF(players[[#This Row],[Matches]]&gt;0,players[[#This Row],[Total Goal Involvement]]/players[[#This Row],[Matches]],0)</f>
        <v>1.7</v>
      </c>
      <c r="Q3" s="3">
        <f>players[[#This Row],[Total Goal Involvement per match]]/players[[#This Row],[Markey Value In Millions(£)]]</f>
        <v>1.2592592592592593E-2</v>
      </c>
      <c r="R3">
        <v>1</v>
      </c>
      <c r="S3">
        <v>0</v>
      </c>
      <c r="T3">
        <v>0</v>
      </c>
      <c r="U3">
        <v>0</v>
      </c>
      <c r="V3">
        <v>1</v>
      </c>
    </row>
    <row r="4" spans="1:22" x14ac:dyDescent="0.25">
      <c r="A4">
        <v>2</v>
      </c>
      <c r="B4" t="s">
        <v>23</v>
      </c>
      <c r="C4" t="s">
        <v>17</v>
      </c>
      <c r="D4" t="str" cm="1">
        <f t="array" ref="D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">
        <v>28</v>
      </c>
      <c r="F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" s="2">
        <v>108</v>
      </c>
      <c r="H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4" t="s">
        <v>24</v>
      </c>
      <c r="J4" t="s">
        <v>25</v>
      </c>
      <c r="K4">
        <v>16</v>
      </c>
      <c r="L4">
        <v>7</v>
      </c>
      <c r="M4">
        <v>0</v>
      </c>
      <c r="N4">
        <v>2</v>
      </c>
      <c r="O4">
        <f>players[[#This Row],[Goals]]+players[[#This Row],[Assists]]</f>
        <v>9</v>
      </c>
      <c r="P4" s="1">
        <f>IF(players[[#This Row],[Matches]]&gt;0,players[[#This Row],[Total Goal Involvement]]/players[[#This Row],[Matches]],0)</f>
        <v>0.5625</v>
      </c>
      <c r="Q4" s="3">
        <f>players[[#This Row],[Total Goal Involvement per match]]/players[[#This Row],[Markey Value In Millions(£)]]</f>
        <v>5.208333333333333E-3</v>
      </c>
      <c r="R4">
        <v>2</v>
      </c>
      <c r="S4">
        <v>0</v>
      </c>
      <c r="T4">
        <v>0</v>
      </c>
      <c r="U4">
        <v>2</v>
      </c>
      <c r="V4">
        <v>2</v>
      </c>
    </row>
    <row r="5" spans="1:22" x14ac:dyDescent="0.25">
      <c r="A5">
        <v>3</v>
      </c>
      <c r="B5" t="s">
        <v>26</v>
      </c>
      <c r="C5" t="s">
        <v>27</v>
      </c>
      <c r="D5" t="str" cm="1">
        <f t="array" ref="D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5">
        <v>26</v>
      </c>
      <c r="F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" s="2">
        <v>90</v>
      </c>
      <c r="H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5" t="s">
        <v>24</v>
      </c>
      <c r="J5" t="s">
        <v>28</v>
      </c>
      <c r="K5">
        <v>15</v>
      </c>
      <c r="L5">
        <v>2</v>
      </c>
      <c r="M5">
        <v>0</v>
      </c>
      <c r="N5">
        <v>3</v>
      </c>
      <c r="O5">
        <f>players[[#This Row],[Goals]]+players[[#This Row],[Assists]]</f>
        <v>5</v>
      </c>
      <c r="P5" s="1">
        <f>IF(players[[#This Row],[Matches]]&gt;0,players[[#This Row],[Total Goal Involvement]]/players[[#This Row],[Matches]],0)</f>
        <v>0.33333333333333331</v>
      </c>
      <c r="Q5" s="3">
        <f>players[[#This Row],[Total Goal Involvement per match]]/players[[#This Row],[Markey Value In Millions(£)]]</f>
        <v>3.7037037037037034E-3</v>
      </c>
      <c r="R5">
        <v>1</v>
      </c>
      <c r="S5">
        <v>0</v>
      </c>
      <c r="T5">
        <v>0</v>
      </c>
      <c r="U5">
        <v>2</v>
      </c>
      <c r="V5">
        <v>8</v>
      </c>
    </row>
    <row r="6" spans="1:22" x14ac:dyDescent="0.25">
      <c r="A6">
        <v>4</v>
      </c>
      <c r="B6" t="s">
        <v>29</v>
      </c>
      <c r="C6" t="s">
        <v>30</v>
      </c>
      <c r="D6" t="str" cm="1">
        <f t="array" ref="D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6">
        <v>29</v>
      </c>
      <c r="F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" s="2">
        <v>90</v>
      </c>
      <c r="H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6" t="s">
        <v>31</v>
      </c>
      <c r="J6" t="s">
        <v>32</v>
      </c>
      <c r="K6">
        <v>15</v>
      </c>
      <c r="L6">
        <v>15</v>
      </c>
      <c r="M6">
        <v>0</v>
      </c>
      <c r="N6">
        <v>6</v>
      </c>
      <c r="O6">
        <f>players[[#This Row],[Goals]]+players[[#This Row],[Assists]]</f>
        <v>21</v>
      </c>
      <c r="P6" s="1">
        <f>IF(players[[#This Row],[Matches]]&gt;0,players[[#This Row],[Total Goal Involvement]]/players[[#This Row],[Matches]],0)</f>
        <v>1.4</v>
      </c>
      <c r="Q6" s="3">
        <f>players[[#This Row],[Total Goal Involvement per match]]/players[[#This Row],[Markey Value In Millions(£)]]</f>
        <v>1.5555555555555555E-2</v>
      </c>
      <c r="R6">
        <v>1</v>
      </c>
      <c r="S6">
        <v>0</v>
      </c>
      <c r="T6">
        <v>0</v>
      </c>
      <c r="U6">
        <v>0</v>
      </c>
      <c r="V6">
        <v>3</v>
      </c>
    </row>
    <row r="7" spans="1:22" x14ac:dyDescent="0.25">
      <c r="A7">
        <v>5</v>
      </c>
      <c r="B7" t="s">
        <v>33</v>
      </c>
      <c r="C7" t="s">
        <v>17</v>
      </c>
      <c r="D7" t="str" cm="1">
        <f t="array" ref="D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7">
        <v>28</v>
      </c>
      <c r="F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7" s="2">
        <v>90</v>
      </c>
      <c r="H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7" t="s">
        <v>34</v>
      </c>
      <c r="J7" t="s">
        <v>35</v>
      </c>
      <c r="K7">
        <v>11</v>
      </c>
      <c r="L7">
        <v>4</v>
      </c>
      <c r="M7">
        <v>0</v>
      </c>
      <c r="N7">
        <v>1</v>
      </c>
      <c r="O7">
        <f>players[[#This Row],[Goals]]+players[[#This Row],[Assists]]</f>
        <v>5</v>
      </c>
      <c r="P7" s="1">
        <f>IF(players[[#This Row],[Matches]]&gt;0,players[[#This Row],[Total Goal Involvement]]/players[[#This Row],[Matches]],0)</f>
        <v>0.45454545454545453</v>
      </c>
      <c r="Q7" s="3">
        <f>players[[#This Row],[Total Goal Involvement per match]]/players[[#This Row],[Markey Value In Millions(£)]]</f>
        <v>5.0505050505050501E-3</v>
      </c>
      <c r="R7">
        <v>0</v>
      </c>
      <c r="S7">
        <v>0</v>
      </c>
      <c r="T7">
        <v>0</v>
      </c>
      <c r="U7">
        <v>1</v>
      </c>
      <c r="V7">
        <v>2</v>
      </c>
    </row>
    <row r="8" spans="1:22" x14ac:dyDescent="0.25">
      <c r="A8">
        <v>6</v>
      </c>
      <c r="B8" t="s">
        <v>36</v>
      </c>
      <c r="C8" t="s">
        <v>37</v>
      </c>
      <c r="D8" t="str" cm="1">
        <f t="array" ref="D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8">
        <v>30</v>
      </c>
      <c r="F8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8" s="2">
        <v>90</v>
      </c>
      <c r="H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8" t="s">
        <v>34</v>
      </c>
      <c r="J8" t="s">
        <v>28</v>
      </c>
      <c r="K8">
        <v>14</v>
      </c>
      <c r="L8">
        <v>3</v>
      </c>
      <c r="M8">
        <v>0</v>
      </c>
      <c r="N8">
        <v>1</v>
      </c>
      <c r="O8">
        <f>players[[#This Row],[Goals]]+players[[#This Row],[Assists]]</f>
        <v>4</v>
      </c>
      <c r="P8" s="1">
        <f>IF(players[[#This Row],[Matches]]&gt;0,players[[#This Row],[Total Goal Involvement]]/players[[#This Row],[Matches]],0)</f>
        <v>0.2857142857142857</v>
      </c>
      <c r="Q8" s="3">
        <f>players[[#This Row],[Total Goal Involvement per match]]/players[[#This Row],[Markey Value In Millions(£)]]</f>
        <v>3.1746031746031746E-3</v>
      </c>
      <c r="R8">
        <v>1</v>
      </c>
      <c r="S8">
        <v>0</v>
      </c>
      <c r="T8">
        <v>0</v>
      </c>
      <c r="U8">
        <v>4</v>
      </c>
      <c r="V8">
        <v>6</v>
      </c>
    </row>
    <row r="9" spans="1:22" x14ac:dyDescent="0.25">
      <c r="A9">
        <v>7</v>
      </c>
      <c r="B9" t="s">
        <v>38</v>
      </c>
      <c r="C9" t="s">
        <v>27</v>
      </c>
      <c r="D9" t="str" cm="1">
        <f t="array" ref="D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9">
        <v>29</v>
      </c>
      <c r="F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9" s="2">
        <v>90</v>
      </c>
      <c r="H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Enormous Price</v>
      </c>
      <c r="I9" t="s">
        <v>39</v>
      </c>
      <c r="J9" t="s">
        <v>19</v>
      </c>
      <c r="K9">
        <v>11</v>
      </c>
      <c r="L9">
        <v>3</v>
      </c>
      <c r="M9">
        <v>0</v>
      </c>
      <c r="N9">
        <v>3</v>
      </c>
      <c r="O9">
        <f>players[[#This Row],[Goals]]+players[[#This Row],[Assists]]</f>
        <v>6</v>
      </c>
      <c r="P9" s="1">
        <f>IF(players[[#This Row],[Matches]]&gt;0,players[[#This Row],[Total Goal Involvement]]/players[[#This Row],[Matches]],0)</f>
        <v>0.54545454545454541</v>
      </c>
      <c r="Q9" s="3">
        <f>players[[#This Row],[Total Goal Involvement per match]]/players[[#This Row],[Markey Value In Millions(£)]]</f>
        <v>6.0606060606060597E-3</v>
      </c>
      <c r="R9">
        <v>3</v>
      </c>
      <c r="S9">
        <v>0</v>
      </c>
      <c r="T9">
        <v>0</v>
      </c>
      <c r="U9">
        <v>0</v>
      </c>
      <c r="V9">
        <v>3</v>
      </c>
    </row>
    <row r="10" spans="1:22" x14ac:dyDescent="0.25">
      <c r="A10">
        <v>8</v>
      </c>
      <c r="B10" t="s">
        <v>40</v>
      </c>
      <c r="C10" t="s">
        <v>27</v>
      </c>
      <c r="D10" t="str" cm="1">
        <f t="array" ref="D1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0">
        <v>21</v>
      </c>
      <c r="F10" t="str">
        <f>IF(players[[#This Row],[Age]]&gt;34,"Veterans",IF(players[[#This Row],[Age]]&gt;29,"Experienced",IF(players[[#This Row],[Age]]&gt;23,"Career peak",IF(players[[#This Row],[Age]]&gt;19,"Young","Teenagers"))))</f>
        <v>Young</v>
      </c>
      <c r="G10" s="2">
        <v>81</v>
      </c>
      <c r="H1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0" t="s">
        <v>24</v>
      </c>
      <c r="J10" t="s">
        <v>41</v>
      </c>
      <c r="K10">
        <v>13</v>
      </c>
      <c r="L10">
        <v>0</v>
      </c>
      <c r="M10">
        <v>0</v>
      </c>
      <c r="N10">
        <v>0</v>
      </c>
      <c r="O10">
        <f>players[[#This Row],[Goals]]+players[[#This Row],[Assists]]</f>
        <v>0</v>
      </c>
      <c r="P10" s="1">
        <f>IF(players[[#This Row],[Matches]]&gt;0,players[[#This Row],[Total Goal Involvement]]/players[[#This Row],[Matches]],0)</f>
        <v>0</v>
      </c>
      <c r="Q10" s="3">
        <f>players[[#This Row],[Total Goal Involvement per match]]/players[[#This Row],[Markey Value In Millions(£)]]</f>
        <v>0</v>
      </c>
      <c r="R10">
        <v>0</v>
      </c>
      <c r="S10">
        <v>0</v>
      </c>
      <c r="T10">
        <v>0</v>
      </c>
      <c r="U10">
        <v>7</v>
      </c>
      <c r="V10">
        <v>5</v>
      </c>
    </row>
    <row r="11" spans="1:22" x14ac:dyDescent="0.25">
      <c r="A11">
        <v>9</v>
      </c>
      <c r="B11" t="s">
        <v>42</v>
      </c>
      <c r="C11" t="s">
        <v>43</v>
      </c>
      <c r="D11" t="str" cm="1">
        <f t="array" ref="D1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1">
        <v>24</v>
      </c>
      <c r="F1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" s="2">
        <v>81</v>
      </c>
      <c r="H1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1" t="s">
        <v>44</v>
      </c>
      <c r="J11" t="s">
        <v>45</v>
      </c>
      <c r="K11">
        <v>13</v>
      </c>
      <c r="L11">
        <v>0</v>
      </c>
      <c r="M11">
        <v>0</v>
      </c>
      <c r="N11">
        <v>2</v>
      </c>
      <c r="O11">
        <f>players[[#This Row],[Goals]]+players[[#This Row],[Assists]]</f>
        <v>2</v>
      </c>
      <c r="P11" s="1">
        <f>IF(players[[#This Row],[Matches]]&gt;0,players[[#This Row],[Total Goal Involvement]]/players[[#This Row],[Matches]],0)</f>
        <v>0.15384615384615385</v>
      </c>
      <c r="Q11" s="3">
        <f>players[[#This Row],[Total Goal Involvement per match]]/players[[#This Row],[Markey Value In Millions(£)]]</f>
        <v>1.8993352326685661E-3</v>
      </c>
      <c r="R11">
        <v>2</v>
      </c>
      <c r="S11">
        <v>1</v>
      </c>
      <c r="T11">
        <v>0</v>
      </c>
      <c r="U11">
        <v>0</v>
      </c>
      <c r="V11">
        <v>2</v>
      </c>
    </row>
    <row r="12" spans="1:22" x14ac:dyDescent="0.25">
      <c r="A12">
        <v>10</v>
      </c>
      <c r="B12" t="s">
        <v>46</v>
      </c>
      <c r="C12" t="s">
        <v>37</v>
      </c>
      <c r="D12" t="str" cm="1">
        <f t="array" ref="D1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2">
        <v>27</v>
      </c>
      <c r="F1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2" s="2">
        <v>81</v>
      </c>
      <c r="H1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2" t="s">
        <v>47</v>
      </c>
      <c r="J12" t="s">
        <v>41</v>
      </c>
      <c r="K12">
        <v>18</v>
      </c>
      <c r="L12">
        <v>5</v>
      </c>
      <c r="M12">
        <v>0</v>
      </c>
      <c r="N12">
        <v>8</v>
      </c>
      <c r="O12">
        <f>players[[#This Row],[Goals]]+players[[#This Row],[Assists]]</f>
        <v>13</v>
      </c>
      <c r="P12" s="1">
        <f>IF(players[[#This Row],[Matches]]&gt;0,players[[#This Row],[Total Goal Involvement]]/players[[#This Row],[Matches]],0)</f>
        <v>0.72222222222222221</v>
      </c>
      <c r="Q12" s="3">
        <f>players[[#This Row],[Total Goal Involvement per match]]/players[[#This Row],[Markey Value In Millions(£)]]</f>
        <v>8.9163237311385458E-3</v>
      </c>
      <c r="R12">
        <v>3</v>
      </c>
      <c r="S12">
        <v>0</v>
      </c>
      <c r="T12">
        <v>0</v>
      </c>
      <c r="U12">
        <v>3</v>
      </c>
      <c r="V12">
        <v>5</v>
      </c>
    </row>
    <row r="13" spans="1:22" x14ac:dyDescent="0.25">
      <c r="A13">
        <v>11</v>
      </c>
      <c r="B13" t="s">
        <v>48</v>
      </c>
      <c r="C13" t="s">
        <v>49</v>
      </c>
      <c r="D13" t="str" cm="1">
        <f t="array" ref="D1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3">
        <v>26</v>
      </c>
      <c r="F1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" s="2">
        <v>81</v>
      </c>
      <c r="H1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3" t="s">
        <v>50</v>
      </c>
      <c r="J13" t="s">
        <v>51</v>
      </c>
      <c r="K13">
        <v>18</v>
      </c>
      <c r="L13">
        <v>3</v>
      </c>
      <c r="M13">
        <v>0</v>
      </c>
      <c r="N13">
        <v>4</v>
      </c>
      <c r="O13">
        <f>players[[#This Row],[Goals]]+players[[#This Row],[Assists]]</f>
        <v>7</v>
      </c>
      <c r="P13" s="1">
        <f>IF(players[[#This Row],[Matches]]&gt;0,players[[#This Row],[Total Goal Involvement]]/players[[#This Row],[Matches]],0)</f>
        <v>0.3888888888888889</v>
      </c>
      <c r="Q13" s="3">
        <f>players[[#This Row],[Total Goal Involvement per match]]/players[[#This Row],[Markey Value In Millions(£)]]</f>
        <v>4.8010973936899867E-3</v>
      </c>
      <c r="R13">
        <v>1</v>
      </c>
      <c r="S13">
        <v>0</v>
      </c>
      <c r="T13">
        <v>0</v>
      </c>
      <c r="U13">
        <v>0</v>
      </c>
      <c r="V13">
        <v>3</v>
      </c>
    </row>
    <row r="14" spans="1:22" x14ac:dyDescent="0.25">
      <c r="A14">
        <v>12</v>
      </c>
      <c r="B14" t="s">
        <v>52</v>
      </c>
      <c r="C14" t="s">
        <v>27</v>
      </c>
      <c r="D14" t="str" cm="1">
        <f t="array" ref="D1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4">
        <v>26</v>
      </c>
      <c r="F1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" s="2">
        <v>81</v>
      </c>
      <c r="H1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4" t="s">
        <v>24</v>
      </c>
      <c r="J14" t="s">
        <v>28</v>
      </c>
      <c r="K14">
        <v>15</v>
      </c>
      <c r="L14">
        <v>2</v>
      </c>
      <c r="M14">
        <v>0</v>
      </c>
      <c r="N14">
        <v>2</v>
      </c>
      <c r="O14">
        <f>players[[#This Row],[Goals]]+players[[#This Row],[Assists]]</f>
        <v>4</v>
      </c>
      <c r="P14" s="1">
        <f>IF(players[[#This Row],[Matches]]&gt;0,players[[#This Row],[Total Goal Involvement]]/players[[#This Row],[Matches]],0)</f>
        <v>0.26666666666666666</v>
      </c>
      <c r="Q14" s="3">
        <f>players[[#This Row],[Total Goal Involvement per match]]/players[[#This Row],[Markey Value In Millions(£)]]</f>
        <v>3.2921810699588477E-3</v>
      </c>
      <c r="R14">
        <v>0</v>
      </c>
      <c r="S14">
        <v>0</v>
      </c>
      <c r="T14">
        <v>0</v>
      </c>
      <c r="U14">
        <v>9</v>
      </c>
      <c r="V14">
        <v>2</v>
      </c>
    </row>
    <row r="15" spans="1:22" x14ac:dyDescent="0.25">
      <c r="A15">
        <v>13</v>
      </c>
      <c r="B15" t="s">
        <v>53</v>
      </c>
      <c r="C15" t="s">
        <v>27</v>
      </c>
      <c r="D15" t="str" cm="1">
        <f t="array" ref="D1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5">
        <v>24</v>
      </c>
      <c r="F1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5" s="2">
        <v>76.5</v>
      </c>
      <c r="H1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5" t="s">
        <v>24</v>
      </c>
      <c r="J15" t="s">
        <v>41</v>
      </c>
      <c r="K15">
        <v>6</v>
      </c>
      <c r="L15">
        <v>3</v>
      </c>
      <c r="M15">
        <v>0</v>
      </c>
      <c r="N15">
        <v>0</v>
      </c>
      <c r="O15">
        <f>players[[#This Row],[Goals]]+players[[#This Row],[Assists]]</f>
        <v>3</v>
      </c>
      <c r="P15" s="1">
        <f>IF(players[[#This Row],[Matches]]&gt;0,players[[#This Row],[Total Goal Involvement]]/players[[#This Row],[Matches]],0)</f>
        <v>0.5</v>
      </c>
      <c r="Q15" s="3">
        <f>players[[#This Row],[Total Goal Involvement per match]]/players[[#This Row],[Markey Value In Millions(£)]]</f>
        <v>6.5359477124183009E-3</v>
      </c>
      <c r="R15">
        <v>0</v>
      </c>
      <c r="S15">
        <v>0</v>
      </c>
      <c r="T15">
        <v>0</v>
      </c>
      <c r="U15">
        <v>3</v>
      </c>
      <c r="V15">
        <v>3</v>
      </c>
    </row>
    <row r="16" spans="1:22" x14ac:dyDescent="0.25">
      <c r="A16">
        <v>14</v>
      </c>
      <c r="B16" t="s">
        <v>54</v>
      </c>
      <c r="C16" t="s">
        <v>27</v>
      </c>
      <c r="D16" t="str" cm="1">
        <f t="array" ref="D1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6">
        <v>29</v>
      </c>
      <c r="F1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6" s="2">
        <v>76.5</v>
      </c>
      <c r="H1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6" t="s">
        <v>55</v>
      </c>
      <c r="J16" t="s">
        <v>32</v>
      </c>
      <c r="K16">
        <v>15</v>
      </c>
      <c r="L16">
        <v>8</v>
      </c>
      <c r="M16">
        <v>0</v>
      </c>
      <c r="N16">
        <v>0</v>
      </c>
      <c r="O16">
        <f>players[[#This Row],[Goals]]+players[[#This Row],[Assists]]</f>
        <v>8</v>
      </c>
      <c r="P16" s="1">
        <f>IF(players[[#This Row],[Matches]]&gt;0,players[[#This Row],[Total Goal Involvement]]/players[[#This Row],[Matches]],0)</f>
        <v>0.53333333333333333</v>
      </c>
      <c r="Q16" s="3">
        <f>players[[#This Row],[Total Goal Involvement per match]]/players[[#This Row],[Markey Value In Millions(£)]]</f>
        <v>6.9716775599128538E-3</v>
      </c>
      <c r="R16">
        <v>1</v>
      </c>
      <c r="S16">
        <v>0</v>
      </c>
      <c r="T16">
        <v>0</v>
      </c>
      <c r="U16">
        <v>2</v>
      </c>
      <c r="V16">
        <v>3</v>
      </c>
    </row>
    <row r="17" spans="1:22" x14ac:dyDescent="0.25">
      <c r="A17">
        <v>15</v>
      </c>
      <c r="B17" t="s">
        <v>56</v>
      </c>
      <c r="C17" t="s">
        <v>27</v>
      </c>
      <c r="D17" t="str" cm="1">
        <f t="array" ref="D1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7">
        <v>29</v>
      </c>
      <c r="F1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" s="2">
        <v>76.5</v>
      </c>
      <c r="H1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7" t="s">
        <v>57</v>
      </c>
      <c r="J17" t="s">
        <v>25</v>
      </c>
      <c r="K17">
        <v>15</v>
      </c>
      <c r="L17">
        <v>5</v>
      </c>
      <c r="M17">
        <v>0</v>
      </c>
      <c r="N17">
        <v>2</v>
      </c>
      <c r="O17">
        <f>players[[#This Row],[Goals]]+players[[#This Row],[Assists]]</f>
        <v>7</v>
      </c>
      <c r="P17" s="1">
        <f>IF(players[[#This Row],[Matches]]&gt;0,players[[#This Row],[Total Goal Involvement]]/players[[#This Row],[Matches]],0)</f>
        <v>0.46666666666666667</v>
      </c>
      <c r="Q17" s="3">
        <f>players[[#This Row],[Total Goal Involvement per match]]/players[[#This Row],[Markey Value In Millions(£)]]</f>
        <v>6.100217864923747E-3</v>
      </c>
      <c r="R17">
        <v>1</v>
      </c>
      <c r="S17">
        <v>0</v>
      </c>
      <c r="T17">
        <v>0</v>
      </c>
      <c r="U17">
        <v>4</v>
      </c>
      <c r="V17">
        <v>4</v>
      </c>
    </row>
    <row r="18" spans="1:22" x14ac:dyDescent="0.25">
      <c r="A18">
        <v>16</v>
      </c>
      <c r="B18" t="s">
        <v>58</v>
      </c>
      <c r="C18" t="s">
        <v>43</v>
      </c>
      <c r="D18" t="str" cm="1">
        <f t="array" ref="D1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8">
        <v>18</v>
      </c>
      <c r="F18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18" s="2">
        <v>72</v>
      </c>
      <c r="H1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8" t="s">
        <v>59</v>
      </c>
      <c r="J18" t="s">
        <v>45</v>
      </c>
      <c r="K18">
        <v>5</v>
      </c>
      <c r="L18">
        <v>0</v>
      </c>
      <c r="M18">
        <v>0</v>
      </c>
      <c r="N18">
        <v>0</v>
      </c>
      <c r="O18">
        <f>players[[#This Row],[Goals]]+players[[#This Row],[Assists]]</f>
        <v>0</v>
      </c>
      <c r="P18" s="1">
        <f>IF(players[[#This Row],[Matches]]&gt;0,players[[#This Row],[Total Goal Involvement]]/players[[#This Row],[Matches]],0)</f>
        <v>0</v>
      </c>
      <c r="Q18" s="3">
        <f>players[[#This Row],[Total Goal Involvement per match]]/players[[#This Row],[Markey Value In Millions(£)]]</f>
        <v>0</v>
      </c>
      <c r="R18">
        <v>0</v>
      </c>
      <c r="S18">
        <v>0</v>
      </c>
      <c r="T18">
        <v>0</v>
      </c>
      <c r="U18">
        <v>1</v>
      </c>
      <c r="V18">
        <v>2</v>
      </c>
    </row>
    <row r="19" spans="1:22" x14ac:dyDescent="0.25">
      <c r="A19">
        <v>17</v>
      </c>
      <c r="B19" t="s">
        <v>60</v>
      </c>
      <c r="C19" t="s">
        <v>43</v>
      </c>
      <c r="D19" t="str" cm="1">
        <f t="array" ref="D1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9">
        <v>21</v>
      </c>
      <c r="F19" t="str">
        <f>IF(players[[#This Row],[Age]]&gt;34,"Veterans",IF(players[[#This Row],[Age]]&gt;29,"Experienced",IF(players[[#This Row],[Age]]&gt;23,"Career peak",IF(players[[#This Row],[Age]]&gt;19,"Young","Teenagers"))))</f>
        <v>Young</v>
      </c>
      <c r="G19" s="2">
        <v>72</v>
      </c>
      <c r="H1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19" t="s">
        <v>24</v>
      </c>
      <c r="J19" t="s">
        <v>28</v>
      </c>
      <c r="K19">
        <v>13</v>
      </c>
      <c r="L19">
        <v>5</v>
      </c>
      <c r="M19">
        <v>0</v>
      </c>
      <c r="N19">
        <v>4</v>
      </c>
      <c r="O19">
        <f>players[[#This Row],[Goals]]+players[[#This Row],[Assists]]</f>
        <v>9</v>
      </c>
      <c r="P19" s="1">
        <f>IF(players[[#This Row],[Matches]]&gt;0,players[[#This Row],[Total Goal Involvement]]/players[[#This Row],[Matches]],0)</f>
        <v>0.69230769230769229</v>
      </c>
      <c r="Q19" s="3">
        <f>players[[#This Row],[Total Goal Involvement per match]]/players[[#This Row],[Markey Value In Millions(£)]]</f>
        <v>9.6153846153846159E-3</v>
      </c>
      <c r="R19">
        <v>0</v>
      </c>
      <c r="S19">
        <v>0</v>
      </c>
      <c r="T19">
        <v>0</v>
      </c>
      <c r="U19">
        <v>4</v>
      </c>
      <c r="V19">
        <v>3</v>
      </c>
    </row>
    <row r="20" spans="1:22" x14ac:dyDescent="0.25">
      <c r="A20">
        <v>18</v>
      </c>
      <c r="B20" t="s">
        <v>61</v>
      </c>
      <c r="C20" t="s">
        <v>17</v>
      </c>
      <c r="D20" t="str" cm="1">
        <f t="array" ref="D2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0">
        <v>24</v>
      </c>
      <c r="F2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" s="2">
        <v>72</v>
      </c>
      <c r="H2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0" t="s">
        <v>62</v>
      </c>
      <c r="J20" t="s">
        <v>63</v>
      </c>
      <c r="K20">
        <v>15</v>
      </c>
      <c r="L20">
        <v>5</v>
      </c>
      <c r="M20">
        <v>0</v>
      </c>
      <c r="N20">
        <v>1</v>
      </c>
      <c r="O20">
        <f>players[[#This Row],[Goals]]+players[[#This Row],[Assists]]</f>
        <v>6</v>
      </c>
      <c r="P20" s="1">
        <f>IF(players[[#This Row],[Matches]]&gt;0,players[[#This Row],[Total Goal Involvement]]/players[[#This Row],[Matches]],0)</f>
        <v>0.4</v>
      </c>
      <c r="Q20" s="3">
        <f>players[[#This Row],[Total Goal Involvement per match]]/players[[#This Row],[Markey Value In Millions(£)]]</f>
        <v>5.5555555555555558E-3</v>
      </c>
      <c r="R20">
        <v>3</v>
      </c>
      <c r="S20">
        <v>0</v>
      </c>
      <c r="T20">
        <v>0</v>
      </c>
      <c r="U20">
        <v>2</v>
      </c>
      <c r="V20">
        <v>12</v>
      </c>
    </row>
    <row r="21" spans="1:22" x14ac:dyDescent="0.25">
      <c r="A21">
        <v>19</v>
      </c>
      <c r="B21" t="s">
        <v>64</v>
      </c>
      <c r="C21" t="s">
        <v>43</v>
      </c>
      <c r="D21" t="str" cm="1">
        <f t="array" ref="D2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1">
        <v>26</v>
      </c>
      <c r="F2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" s="2">
        <v>72</v>
      </c>
      <c r="H2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1" t="s">
        <v>59</v>
      </c>
      <c r="J21" t="s">
        <v>65</v>
      </c>
      <c r="K21">
        <v>11</v>
      </c>
      <c r="L21">
        <v>0</v>
      </c>
      <c r="M21">
        <v>0</v>
      </c>
      <c r="N21">
        <v>0</v>
      </c>
      <c r="O21">
        <f>players[[#This Row],[Goals]]+players[[#This Row],[Assists]]</f>
        <v>0</v>
      </c>
      <c r="P21" s="1">
        <f>IF(players[[#This Row],[Matches]]&gt;0,players[[#This Row],[Total Goal Involvement]]/players[[#This Row],[Matches]],0)</f>
        <v>0</v>
      </c>
      <c r="Q21" s="3">
        <f>players[[#This Row],[Total Goal Involvement per match]]/players[[#This Row],[Markey Value In Millions(£)]]</f>
        <v>0</v>
      </c>
      <c r="R21">
        <v>1</v>
      </c>
      <c r="S21">
        <v>0</v>
      </c>
      <c r="T21">
        <v>0</v>
      </c>
      <c r="U21">
        <v>1</v>
      </c>
      <c r="V21">
        <v>2</v>
      </c>
    </row>
    <row r="22" spans="1:22" x14ac:dyDescent="0.25">
      <c r="A22">
        <v>20</v>
      </c>
      <c r="B22" t="s">
        <v>66</v>
      </c>
      <c r="C22" t="s">
        <v>30</v>
      </c>
      <c r="D22" t="str" cm="1">
        <f t="array" ref="D2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2">
        <v>34</v>
      </c>
      <c r="F22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22" s="2">
        <v>72</v>
      </c>
      <c r="H2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2" t="s">
        <v>62</v>
      </c>
      <c r="J22" t="s">
        <v>19</v>
      </c>
      <c r="K22">
        <v>8</v>
      </c>
      <c r="L22">
        <v>3</v>
      </c>
      <c r="M22">
        <v>0</v>
      </c>
      <c r="N22">
        <v>0</v>
      </c>
      <c r="O22">
        <f>players[[#This Row],[Goals]]+players[[#This Row],[Assists]]</f>
        <v>3</v>
      </c>
      <c r="P22" s="1">
        <f>IF(players[[#This Row],[Matches]]&gt;0,players[[#This Row],[Total Goal Involvement]]/players[[#This Row],[Matches]],0)</f>
        <v>0.375</v>
      </c>
      <c r="Q22" s="3">
        <f>players[[#This Row],[Total Goal Involvement per match]]/players[[#This Row],[Markey Value In Millions(£)]]</f>
        <v>5.208333333333333E-3</v>
      </c>
      <c r="R22">
        <v>1</v>
      </c>
      <c r="S22">
        <v>0</v>
      </c>
      <c r="T22">
        <v>0</v>
      </c>
      <c r="U22">
        <v>1</v>
      </c>
      <c r="V22">
        <v>2</v>
      </c>
    </row>
    <row r="23" spans="1:22" x14ac:dyDescent="0.25">
      <c r="A23">
        <v>21</v>
      </c>
      <c r="B23" t="s">
        <v>67</v>
      </c>
      <c r="C23" t="s">
        <v>37</v>
      </c>
      <c r="D23" t="str" cm="1">
        <f t="array" ref="D2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3">
        <v>22</v>
      </c>
      <c r="F23" t="str">
        <f>IF(players[[#This Row],[Age]]&gt;34,"Veterans",IF(players[[#This Row],[Age]]&gt;29,"Experienced",IF(players[[#This Row],[Age]]&gt;23,"Career peak",IF(players[[#This Row],[Age]]&gt;19,"Young","Teenagers"))))</f>
        <v>Young</v>
      </c>
      <c r="G23" s="2">
        <v>67.5</v>
      </c>
      <c r="H2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3" t="s">
        <v>24</v>
      </c>
      <c r="J23" t="s">
        <v>35</v>
      </c>
      <c r="K23">
        <v>13</v>
      </c>
      <c r="L23">
        <v>3</v>
      </c>
      <c r="M23">
        <v>0</v>
      </c>
      <c r="N23">
        <v>2</v>
      </c>
      <c r="O23">
        <f>players[[#This Row],[Goals]]+players[[#This Row],[Assists]]</f>
        <v>5</v>
      </c>
      <c r="P23" s="1">
        <f>IF(players[[#This Row],[Matches]]&gt;0,players[[#This Row],[Total Goal Involvement]]/players[[#This Row],[Matches]],0)</f>
        <v>0.38461538461538464</v>
      </c>
      <c r="Q23" s="3">
        <f>players[[#This Row],[Total Goal Involvement per match]]/players[[#This Row],[Markey Value In Millions(£)]]</f>
        <v>5.6980056980056983E-3</v>
      </c>
      <c r="R23">
        <v>0</v>
      </c>
      <c r="S23">
        <v>0</v>
      </c>
      <c r="T23">
        <v>0</v>
      </c>
      <c r="U23">
        <v>6</v>
      </c>
      <c r="V23">
        <v>3</v>
      </c>
    </row>
    <row r="24" spans="1:22" x14ac:dyDescent="0.25">
      <c r="A24">
        <v>22</v>
      </c>
      <c r="B24" t="s">
        <v>68</v>
      </c>
      <c r="C24" t="s">
        <v>69</v>
      </c>
      <c r="D24" t="str" cm="1">
        <f t="array" ref="D2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4">
        <v>23</v>
      </c>
      <c r="F24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" s="2">
        <v>67.5</v>
      </c>
      <c r="H2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4" t="s">
        <v>24</v>
      </c>
      <c r="J24" t="s">
        <v>32</v>
      </c>
      <c r="K24">
        <v>12</v>
      </c>
      <c r="L24">
        <v>1</v>
      </c>
      <c r="M24">
        <v>0</v>
      </c>
      <c r="N24">
        <v>7</v>
      </c>
      <c r="O24">
        <f>players[[#This Row],[Goals]]+players[[#This Row],[Assists]]</f>
        <v>8</v>
      </c>
      <c r="P24" s="1">
        <f>IF(players[[#This Row],[Matches]]&gt;0,players[[#This Row],[Total Goal Involvement]]/players[[#This Row],[Matches]],0)</f>
        <v>0.66666666666666663</v>
      </c>
      <c r="Q24" s="3">
        <f>players[[#This Row],[Total Goal Involvement per match]]/players[[#This Row],[Markey Value In Millions(£)]]</f>
        <v>9.876543209876543E-3</v>
      </c>
      <c r="R24">
        <v>1</v>
      </c>
      <c r="S24">
        <v>0</v>
      </c>
      <c r="T24">
        <v>0</v>
      </c>
      <c r="U24">
        <v>0</v>
      </c>
      <c r="V24">
        <v>3</v>
      </c>
    </row>
    <row r="25" spans="1:22" x14ac:dyDescent="0.25">
      <c r="A25">
        <v>23</v>
      </c>
      <c r="B25" t="s">
        <v>70</v>
      </c>
      <c r="C25" t="s">
        <v>71</v>
      </c>
      <c r="D25" t="str" cm="1">
        <f t="array" ref="D2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5">
        <v>24</v>
      </c>
      <c r="F2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" s="2">
        <v>67.5</v>
      </c>
      <c r="H2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5" t="s">
        <v>47</v>
      </c>
      <c r="J25" t="s">
        <v>28</v>
      </c>
      <c r="K25">
        <v>16</v>
      </c>
      <c r="L25">
        <v>0</v>
      </c>
      <c r="M25">
        <v>0</v>
      </c>
      <c r="N25">
        <v>2</v>
      </c>
      <c r="O25">
        <f>players[[#This Row],[Goals]]+players[[#This Row],[Assists]]</f>
        <v>2</v>
      </c>
      <c r="P25" s="1">
        <f>IF(players[[#This Row],[Matches]]&gt;0,players[[#This Row],[Total Goal Involvement]]/players[[#This Row],[Matches]],0)</f>
        <v>0.125</v>
      </c>
      <c r="Q25" s="3">
        <f>players[[#This Row],[Total Goal Involvement per match]]/players[[#This Row],[Markey Value In Millions(£)]]</f>
        <v>1.8518518518518519E-3</v>
      </c>
      <c r="R25">
        <v>3</v>
      </c>
      <c r="S25">
        <v>0</v>
      </c>
      <c r="T25">
        <v>0</v>
      </c>
      <c r="U25">
        <v>2</v>
      </c>
      <c r="V25">
        <v>0</v>
      </c>
    </row>
    <row r="26" spans="1:22" x14ac:dyDescent="0.25">
      <c r="A26">
        <v>24</v>
      </c>
      <c r="B26" t="s">
        <v>72</v>
      </c>
      <c r="C26" t="s">
        <v>71</v>
      </c>
      <c r="D26" t="str" cm="1">
        <f t="array" ref="D2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6">
        <v>27</v>
      </c>
      <c r="F2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" s="2">
        <v>67.5</v>
      </c>
      <c r="H2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6" t="s">
        <v>39</v>
      </c>
      <c r="J26" t="s">
        <v>19</v>
      </c>
      <c r="K26">
        <v>13</v>
      </c>
      <c r="L26">
        <v>1</v>
      </c>
      <c r="M26">
        <v>0</v>
      </c>
      <c r="N26">
        <v>1</v>
      </c>
      <c r="O26">
        <f>players[[#This Row],[Goals]]+players[[#This Row],[Assists]]</f>
        <v>2</v>
      </c>
      <c r="P26" s="1">
        <f>IF(players[[#This Row],[Matches]]&gt;0,players[[#This Row],[Total Goal Involvement]]/players[[#This Row],[Matches]],0)</f>
        <v>0.15384615384615385</v>
      </c>
      <c r="Q26" s="3">
        <f>players[[#This Row],[Total Goal Involvement per match]]/players[[#This Row],[Markey Value In Millions(£)]]</f>
        <v>2.2792022792022795E-3</v>
      </c>
      <c r="R26">
        <v>2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>
        <v>25</v>
      </c>
      <c r="B27" t="s">
        <v>73</v>
      </c>
      <c r="C27" t="s">
        <v>43</v>
      </c>
      <c r="D27" t="str" cm="1">
        <f t="array" ref="D2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7">
        <v>18</v>
      </c>
      <c r="F27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27" s="2">
        <v>63</v>
      </c>
      <c r="H2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7" t="s">
        <v>24</v>
      </c>
      <c r="J27" t="s">
        <v>22</v>
      </c>
      <c r="K27">
        <v>18</v>
      </c>
      <c r="L27">
        <v>3</v>
      </c>
      <c r="M27">
        <v>0</v>
      </c>
      <c r="N27">
        <v>7</v>
      </c>
      <c r="O27">
        <f>players[[#This Row],[Goals]]+players[[#This Row],[Assists]]</f>
        <v>10</v>
      </c>
      <c r="P27" s="1">
        <f>IF(players[[#This Row],[Matches]]&gt;0,players[[#This Row],[Total Goal Involvement]]/players[[#This Row],[Matches]],0)</f>
        <v>0.55555555555555558</v>
      </c>
      <c r="Q27" s="3">
        <f>players[[#This Row],[Total Goal Involvement per match]]/players[[#This Row],[Markey Value In Millions(£)]]</f>
        <v>8.8183421516754863E-3</v>
      </c>
      <c r="R27">
        <v>4</v>
      </c>
      <c r="S27">
        <v>0</v>
      </c>
      <c r="T27">
        <v>0</v>
      </c>
      <c r="U27">
        <v>0</v>
      </c>
      <c r="V27">
        <v>6</v>
      </c>
    </row>
    <row r="28" spans="1:22" x14ac:dyDescent="0.25">
      <c r="A28">
        <v>26</v>
      </c>
      <c r="B28" t="s">
        <v>74</v>
      </c>
      <c r="C28" t="s">
        <v>75</v>
      </c>
      <c r="D28" t="str" cm="1">
        <f t="array" ref="D2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8">
        <v>22</v>
      </c>
      <c r="F28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" s="2">
        <v>63</v>
      </c>
      <c r="H2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8" t="s">
        <v>47</v>
      </c>
      <c r="J28" t="s">
        <v>65</v>
      </c>
      <c r="K28">
        <v>11</v>
      </c>
      <c r="L28">
        <v>1</v>
      </c>
      <c r="M28">
        <v>0</v>
      </c>
      <c r="N28">
        <v>2</v>
      </c>
      <c r="O28">
        <f>players[[#This Row],[Goals]]+players[[#This Row],[Assists]]</f>
        <v>3</v>
      </c>
      <c r="P28" s="1">
        <f>IF(players[[#This Row],[Matches]]&gt;0,players[[#This Row],[Total Goal Involvement]]/players[[#This Row],[Matches]],0)</f>
        <v>0.27272727272727271</v>
      </c>
      <c r="Q28" s="3">
        <f>players[[#This Row],[Total Goal Involvement per match]]/players[[#This Row],[Markey Value In Millions(£)]]</f>
        <v>4.329004329004329E-3</v>
      </c>
      <c r="R28">
        <v>3</v>
      </c>
      <c r="S28">
        <v>1</v>
      </c>
      <c r="T28">
        <v>0</v>
      </c>
      <c r="U28">
        <v>5</v>
      </c>
      <c r="V28">
        <v>4</v>
      </c>
    </row>
    <row r="29" spans="1:22" x14ac:dyDescent="0.25">
      <c r="A29">
        <v>27</v>
      </c>
      <c r="B29" t="s">
        <v>76</v>
      </c>
      <c r="C29" t="s">
        <v>77</v>
      </c>
      <c r="D29" t="str" cm="1">
        <f t="array" ref="D2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9">
        <v>21</v>
      </c>
      <c r="F29" t="str">
        <f>IF(players[[#This Row],[Age]]&gt;34,"Veterans",IF(players[[#This Row],[Age]]&gt;29,"Experienced",IF(players[[#This Row],[Age]]&gt;23,"Career peak",IF(players[[#This Row],[Age]]&gt;19,"Young","Teenagers"))))</f>
        <v>Young</v>
      </c>
      <c r="G29" s="2">
        <v>63</v>
      </c>
      <c r="H2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29" t="s">
        <v>78</v>
      </c>
      <c r="J29" t="s">
        <v>51</v>
      </c>
      <c r="K29">
        <v>15</v>
      </c>
      <c r="L29">
        <v>0</v>
      </c>
      <c r="M29">
        <v>0</v>
      </c>
      <c r="N29">
        <v>5</v>
      </c>
      <c r="O29">
        <f>players[[#This Row],[Goals]]+players[[#This Row],[Assists]]</f>
        <v>5</v>
      </c>
      <c r="P29" s="1">
        <f>IF(players[[#This Row],[Matches]]&gt;0,players[[#This Row],[Total Goal Involvement]]/players[[#This Row],[Matches]],0)</f>
        <v>0.33333333333333331</v>
      </c>
      <c r="Q29" s="3">
        <f>players[[#This Row],[Total Goal Involvement per match]]/players[[#This Row],[Markey Value In Millions(£)]]</f>
        <v>5.2910052910052907E-3</v>
      </c>
      <c r="R29">
        <v>1</v>
      </c>
      <c r="S29">
        <v>0</v>
      </c>
      <c r="T29">
        <v>0</v>
      </c>
      <c r="U29">
        <v>0</v>
      </c>
      <c r="V29">
        <v>6</v>
      </c>
    </row>
    <row r="30" spans="1:22" x14ac:dyDescent="0.25">
      <c r="A30">
        <v>28</v>
      </c>
      <c r="B30" t="s">
        <v>79</v>
      </c>
      <c r="C30" t="s">
        <v>69</v>
      </c>
      <c r="D30" t="str" cm="1">
        <f t="array" ref="D3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0">
        <v>23</v>
      </c>
      <c r="F30" t="str">
        <f>IF(players[[#This Row],[Age]]&gt;34,"Veterans",IF(players[[#This Row],[Age]]&gt;29,"Experienced",IF(players[[#This Row],[Age]]&gt;23,"Career peak",IF(players[[#This Row],[Age]]&gt;19,"Young","Teenagers"))))</f>
        <v>Young</v>
      </c>
      <c r="G30" s="2">
        <v>63</v>
      </c>
      <c r="H3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0" t="s">
        <v>80</v>
      </c>
      <c r="J30" t="s">
        <v>19</v>
      </c>
      <c r="K30">
        <v>17</v>
      </c>
      <c r="L30">
        <v>3</v>
      </c>
      <c r="M30">
        <v>0</v>
      </c>
      <c r="N30">
        <v>2</v>
      </c>
      <c r="O30">
        <f>players[[#This Row],[Goals]]+players[[#This Row],[Assists]]</f>
        <v>5</v>
      </c>
      <c r="P30" s="1">
        <f>IF(players[[#This Row],[Matches]]&gt;0,players[[#This Row],[Total Goal Involvement]]/players[[#This Row],[Matches]],0)</f>
        <v>0.29411764705882354</v>
      </c>
      <c r="Q30" s="3">
        <f>players[[#This Row],[Total Goal Involvement per match]]/players[[#This Row],[Markey Value In Millions(£)]]</f>
        <v>4.6685340802987861E-3</v>
      </c>
      <c r="R30">
        <v>2</v>
      </c>
      <c r="S30">
        <v>0</v>
      </c>
      <c r="T30">
        <v>1</v>
      </c>
      <c r="U30">
        <v>2</v>
      </c>
      <c r="V30">
        <v>1</v>
      </c>
    </row>
    <row r="31" spans="1:22" x14ac:dyDescent="0.25">
      <c r="A31">
        <v>29</v>
      </c>
      <c r="B31" t="s">
        <v>81</v>
      </c>
      <c r="C31" t="s">
        <v>49</v>
      </c>
      <c r="D31" t="str" cm="1">
        <f t="array" ref="D3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1">
        <v>22</v>
      </c>
      <c r="F31" t="str">
        <f>IF(players[[#This Row],[Age]]&gt;34,"Veterans",IF(players[[#This Row],[Age]]&gt;29,"Experienced",IF(players[[#This Row],[Age]]&gt;23,"Career peak",IF(players[[#This Row],[Age]]&gt;19,"Young","Teenagers"))))</f>
        <v>Young</v>
      </c>
      <c r="G31" s="2">
        <v>63</v>
      </c>
      <c r="H3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1" t="s">
        <v>24</v>
      </c>
      <c r="J31" t="s">
        <v>82</v>
      </c>
      <c r="K31">
        <v>15</v>
      </c>
      <c r="L31">
        <v>3</v>
      </c>
      <c r="M31">
        <v>0</v>
      </c>
      <c r="N31">
        <v>3</v>
      </c>
      <c r="O31">
        <f>players[[#This Row],[Goals]]+players[[#This Row],[Assists]]</f>
        <v>6</v>
      </c>
      <c r="P31" s="1">
        <f>IF(players[[#This Row],[Matches]]&gt;0,players[[#This Row],[Total Goal Involvement]]/players[[#This Row],[Matches]],0)</f>
        <v>0.4</v>
      </c>
      <c r="Q31" s="3">
        <f>players[[#This Row],[Total Goal Involvement per match]]/players[[#This Row],[Markey Value In Millions(£)]]</f>
        <v>6.3492063492063492E-3</v>
      </c>
      <c r="R31">
        <v>4</v>
      </c>
      <c r="S31">
        <v>0</v>
      </c>
      <c r="T31">
        <v>0</v>
      </c>
      <c r="U31">
        <v>0</v>
      </c>
      <c r="V31">
        <v>2</v>
      </c>
    </row>
    <row r="32" spans="1:22" x14ac:dyDescent="0.25">
      <c r="A32">
        <v>30</v>
      </c>
      <c r="B32" t="s">
        <v>83</v>
      </c>
      <c r="C32" t="s">
        <v>49</v>
      </c>
      <c r="D32" t="str" cm="1">
        <f t="array" ref="D3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2">
        <v>25</v>
      </c>
      <c r="F3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" s="2">
        <v>63</v>
      </c>
      <c r="H3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2" t="s">
        <v>59</v>
      </c>
      <c r="J32" t="s">
        <v>28</v>
      </c>
      <c r="K32">
        <v>14</v>
      </c>
      <c r="L32">
        <v>1</v>
      </c>
      <c r="M32">
        <v>0</v>
      </c>
      <c r="N32">
        <v>0</v>
      </c>
      <c r="O32">
        <f>players[[#This Row],[Goals]]+players[[#This Row],[Assists]]</f>
        <v>1</v>
      </c>
      <c r="P32" s="1">
        <f>IF(players[[#This Row],[Matches]]&gt;0,players[[#This Row],[Total Goal Involvement]]/players[[#This Row],[Matches]],0)</f>
        <v>7.1428571428571425E-2</v>
      </c>
      <c r="Q32" s="3">
        <f>players[[#This Row],[Total Goal Involvement per match]]/players[[#This Row],[Markey Value In Millions(£)]]</f>
        <v>1.1337868480725624E-3</v>
      </c>
      <c r="R32">
        <v>2</v>
      </c>
      <c r="S32">
        <v>0</v>
      </c>
      <c r="T32">
        <v>0</v>
      </c>
      <c r="U32">
        <v>1</v>
      </c>
      <c r="V32">
        <v>2</v>
      </c>
    </row>
    <row r="33" spans="1:22" x14ac:dyDescent="0.25">
      <c r="A33">
        <v>31</v>
      </c>
      <c r="B33" t="s">
        <v>84</v>
      </c>
      <c r="C33" t="s">
        <v>27</v>
      </c>
      <c r="D33" t="str" cm="1">
        <f t="array" ref="D3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">
        <v>24</v>
      </c>
      <c r="F3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3" s="2">
        <v>63</v>
      </c>
      <c r="H3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3" t="s">
        <v>59</v>
      </c>
      <c r="J33" t="s">
        <v>85</v>
      </c>
      <c r="K33">
        <v>11</v>
      </c>
      <c r="L33">
        <v>6</v>
      </c>
      <c r="M33">
        <v>0</v>
      </c>
      <c r="N33">
        <v>1</v>
      </c>
      <c r="O33">
        <f>players[[#This Row],[Goals]]+players[[#This Row],[Assists]]</f>
        <v>7</v>
      </c>
      <c r="P33" s="1">
        <f>IF(players[[#This Row],[Matches]]&gt;0,players[[#This Row],[Total Goal Involvement]]/players[[#This Row],[Matches]],0)</f>
        <v>0.63636363636363635</v>
      </c>
      <c r="Q33" s="3">
        <f>players[[#This Row],[Total Goal Involvement per match]]/players[[#This Row],[Markey Value In Millions(£)]]</f>
        <v>1.01010101010101E-2</v>
      </c>
      <c r="R33">
        <v>1</v>
      </c>
      <c r="S33">
        <v>0</v>
      </c>
      <c r="T33">
        <v>0</v>
      </c>
      <c r="U33">
        <v>1</v>
      </c>
      <c r="V33">
        <v>6</v>
      </c>
    </row>
    <row r="34" spans="1:22" x14ac:dyDescent="0.25">
      <c r="A34">
        <v>32</v>
      </c>
      <c r="B34" t="s">
        <v>86</v>
      </c>
      <c r="C34" t="s">
        <v>30</v>
      </c>
      <c r="D34" t="str" cm="1">
        <f t="array" ref="D3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4">
        <v>24</v>
      </c>
      <c r="F3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4" s="2">
        <v>63</v>
      </c>
      <c r="H3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4" t="s">
        <v>87</v>
      </c>
      <c r="J34" t="s">
        <v>88</v>
      </c>
      <c r="K34">
        <v>13</v>
      </c>
      <c r="L34">
        <v>3</v>
      </c>
      <c r="M34">
        <v>0</v>
      </c>
      <c r="N34">
        <v>2</v>
      </c>
      <c r="O34">
        <f>players[[#This Row],[Goals]]+players[[#This Row],[Assists]]</f>
        <v>5</v>
      </c>
      <c r="P34" s="1">
        <f>IF(players[[#This Row],[Matches]]&gt;0,players[[#This Row],[Total Goal Involvement]]/players[[#This Row],[Matches]],0)</f>
        <v>0.38461538461538464</v>
      </c>
      <c r="Q34" s="3">
        <f>players[[#This Row],[Total Goal Involvement per match]]/players[[#This Row],[Markey Value In Millions(£)]]</f>
        <v>6.105006105006105E-3</v>
      </c>
      <c r="R34">
        <v>0</v>
      </c>
      <c r="S34">
        <v>0</v>
      </c>
      <c r="T34">
        <v>0</v>
      </c>
      <c r="U34">
        <v>3</v>
      </c>
      <c r="V34">
        <v>6</v>
      </c>
    </row>
    <row r="35" spans="1:22" x14ac:dyDescent="0.25">
      <c r="A35">
        <v>33</v>
      </c>
      <c r="B35" t="s">
        <v>89</v>
      </c>
      <c r="C35" t="s">
        <v>71</v>
      </c>
      <c r="D35" t="str" cm="1">
        <f t="array" ref="D3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5">
        <v>22</v>
      </c>
      <c r="F35" t="str">
        <f>IF(players[[#This Row],[Age]]&gt;34,"Veterans",IF(players[[#This Row],[Age]]&gt;29,"Experienced",IF(players[[#This Row],[Age]]&gt;23,"Career peak",IF(players[[#This Row],[Age]]&gt;19,"Young","Teenagers"))))</f>
        <v>Young</v>
      </c>
      <c r="G35" s="2">
        <v>63</v>
      </c>
      <c r="H3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5" t="s">
        <v>44</v>
      </c>
      <c r="J35" t="s">
        <v>88</v>
      </c>
      <c r="K35">
        <v>12</v>
      </c>
      <c r="L35">
        <v>1</v>
      </c>
      <c r="M35">
        <v>0</v>
      </c>
      <c r="N35">
        <v>0</v>
      </c>
      <c r="O35">
        <f>players[[#This Row],[Goals]]+players[[#This Row],[Assists]]</f>
        <v>1</v>
      </c>
      <c r="P35" s="1">
        <f>IF(players[[#This Row],[Matches]]&gt;0,players[[#This Row],[Total Goal Involvement]]/players[[#This Row],[Matches]],0)</f>
        <v>8.3333333333333329E-2</v>
      </c>
      <c r="Q35" s="3">
        <f>players[[#This Row],[Total Goal Involvement per match]]/players[[#This Row],[Markey Value In Millions(£)]]</f>
        <v>1.3227513227513227E-3</v>
      </c>
      <c r="R35">
        <v>1</v>
      </c>
      <c r="S35">
        <v>0</v>
      </c>
      <c r="T35">
        <v>0</v>
      </c>
      <c r="U35">
        <v>1</v>
      </c>
      <c r="V35">
        <v>1</v>
      </c>
    </row>
    <row r="36" spans="1:22" x14ac:dyDescent="0.25">
      <c r="A36">
        <v>34</v>
      </c>
      <c r="B36" t="s">
        <v>90</v>
      </c>
      <c r="C36" t="s">
        <v>37</v>
      </c>
      <c r="D36" t="str" cm="1">
        <f t="array" ref="D3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6">
        <v>22</v>
      </c>
      <c r="F36" t="str">
        <f>IF(players[[#This Row],[Age]]&gt;34,"Veterans",IF(players[[#This Row],[Age]]&gt;29,"Experienced",IF(players[[#This Row],[Age]]&gt;23,"Career peak",IF(players[[#This Row],[Age]]&gt;19,"Young","Teenagers"))))</f>
        <v>Young</v>
      </c>
      <c r="G36" s="2">
        <v>63</v>
      </c>
      <c r="H3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6" t="s">
        <v>50</v>
      </c>
      <c r="J36" t="s">
        <v>35</v>
      </c>
      <c r="K36">
        <v>16</v>
      </c>
      <c r="L36">
        <v>4</v>
      </c>
      <c r="M36">
        <v>0</v>
      </c>
      <c r="N36">
        <v>2</v>
      </c>
      <c r="O36">
        <f>players[[#This Row],[Goals]]+players[[#This Row],[Assists]]</f>
        <v>6</v>
      </c>
      <c r="P36" s="1">
        <f>IF(players[[#This Row],[Matches]]&gt;0,players[[#This Row],[Total Goal Involvement]]/players[[#This Row],[Matches]],0)</f>
        <v>0.375</v>
      </c>
      <c r="Q36" s="3">
        <f>players[[#This Row],[Total Goal Involvement per match]]/players[[#This Row],[Markey Value In Millions(£)]]</f>
        <v>5.9523809523809521E-3</v>
      </c>
      <c r="R36">
        <v>0</v>
      </c>
      <c r="S36">
        <v>0</v>
      </c>
      <c r="T36">
        <v>0</v>
      </c>
      <c r="U36">
        <v>5</v>
      </c>
      <c r="V36">
        <v>5</v>
      </c>
    </row>
    <row r="37" spans="1:22" x14ac:dyDescent="0.25">
      <c r="A37">
        <v>35</v>
      </c>
      <c r="B37" t="s">
        <v>91</v>
      </c>
      <c r="C37" t="s">
        <v>43</v>
      </c>
      <c r="D37" t="str" cm="1">
        <f t="array" ref="D3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7">
        <v>26</v>
      </c>
      <c r="F3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" s="2">
        <v>63</v>
      </c>
      <c r="H3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7" t="s">
        <v>92</v>
      </c>
      <c r="J37" t="s">
        <v>93</v>
      </c>
      <c r="K37">
        <v>17</v>
      </c>
      <c r="L37">
        <v>4</v>
      </c>
      <c r="M37">
        <v>0</v>
      </c>
      <c r="N37">
        <v>4</v>
      </c>
      <c r="O37">
        <f>players[[#This Row],[Goals]]+players[[#This Row],[Assists]]</f>
        <v>8</v>
      </c>
      <c r="P37" s="1">
        <f>IF(players[[#This Row],[Matches]]&gt;0,players[[#This Row],[Total Goal Involvement]]/players[[#This Row],[Matches]],0)</f>
        <v>0.47058823529411764</v>
      </c>
      <c r="Q37" s="3">
        <f>players[[#This Row],[Total Goal Involvement per match]]/players[[#This Row],[Markey Value In Millions(£)]]</f>
        <v>7.4696545284780574E-3</v>
      </c>
      <c r="R37">
        <v>3</v>
      </c>
      <c r="S37">
        <v>0</v>
      </c>
      <c r="T37">
        <v>0</v>
      </c>
      <c r="U37">
        <v>5</v>
      </c>
      <c r="V37">
        <v>7</v>
      </c>
    </row>
    <row r="38" spans="1:22" x14ac:dyDescent="0.25">
      <c r="A38">
        <v>36</v>
      </c>
      <c r="B38" t="s">
        <v>94</v>
      </c>
      <c r="C38" t="s">
        <v>37</v>
      </c>
      <c r="D38" t="str" cm="1">
        <f t="array" ref="D3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8">
        <v>27</v>
      </c>
      <c r="F3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8" s="2">
        <v>63</v>
      </c>
      <c r="H3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8" t="s">
        <v>47</v>
      </c>
      <c r="J38" t="s">
        <v>28</v>
      </c>
      <c r="K38">
        <v>16</v>
      </c>
      <c r="L38">
        <v>3</v>
      </c>
      <c r="M38">
        <v>0</v>
      </c>
      <c r="N38">
        <v>1</v>
      </c>
      <c r="O38">
        <f>players[[#This Row],[Goals]]+players[[#This Row],[Assists]]</f>
        <v>4</v>
      </c>
      <c r="P38" s="1">
        <f>IF(players[[#This Row],[Matches]]&gt;0,players[[#This Row],[Total Goal Involvement]]/players[[#This Row],[Matches]],0)</f>
        <v>0.25</v>
      </c>
      <c r="Q38" s="3">
        <f>players[[#This Row],[Total Goal Involvement per match]]/players[[#This Row],[Markey Value In Millions(£)]]</f>
        <v>3.968253968253968E-3</v>
      </c>
      <c r="R38">
        <v>3</v>
      </c>
      <c r="S38">
        <v>0</v>
      </c>
      <c r="T38">
        <v>0</v>
      </c>
      <c r="U38">
        <v>2</v>
      </c>
      <c r="V38">
        <v>6</v>
      </c>
    </row>
    <row r="39" spans="1:22" x14ac:dyDescent="0.25">
      <c r="A39">
        <v>37</v>
      </c>
      <c r="B39" t="s">
        <v>95</v>
      </c>
      <c r="C39" t="s">
        <v>71</v>
      </c>
      <c r="D39" t="str" cm="1">
        <f t="array" ref="D3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9">
        <v>28</v>
      </c>
      <c r="F3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9" s="2">
        <v>63</v>
      </c>
      <c r="H3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39" t="s">
        <v>18</v>
      </c>
      <c r="J39" t="s">
        <v>41</v>
      </c>
      <c r="K39">
        <v>9</v>
      </c>
      <c r="L39">
        <v>0</v>
      </c>
      <c r="M39">
        <v>0</v>
      </c>
      <c r="N39">
        <v>1</v>
      </c>
      <c r="O39">
        <f>players[[#This Row],[Goals]]+players[[#This Row],[Assists]]</f>
        <v>1</v>
      </c>
      <c r="P39" s="1">
        <f>IF(players[[#This Row],[Matches]]&gt;0,players[[#This Row],[Total Goal Involvement]]/players[[#This Row],[Matches]],0)</f>
        <v>0.1111111111111111</v>
      </c>
      <c r="Q39" s="3">
        <f>players[[#This Row],[Total Goal Involvement per match]]/players[[#This Row],[Markey Value In Millions(£)]]</f>
        <v>1.7636684303350969E-3</v>
      </c>
      <c r="R39">
        <v>1</v>
      </c>
      <c r="S39">
        <v>0</v>
      </c>
      <c r="T39">
        <v>0</v>
      </c>
      <c r="U39">
        <v>1</v>
      </c>
      <c r="V39">
        <v>1</v>
      </c>
    </row>
    <row r="40" spans="1:22" x14ac:dyDescent="0.25">
      <c r="A40">
        <v>38</v>
      </c>
      <c r="B40" t="s">
        <v>96</v>
      </c>
      <c r="C40" t="s">
        <v>30</v>
      </c>
      <c r="D40" t="str" cm="1">
        <f t="array" ref="D4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0">
        <v>26</v>
      </c>
      <c r="F4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0" s="2">
        <v>63</v>
      </c>
      <c r="H4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0" t="s">
        <v>50</v>
      </c>
      <c r="J40" t="s">
        <v>51</v>
      </c>
      <c r="K40">
        <v>18</v>
      </c>
      <c r="L40">
        <v>8</v>
      </c>
      <c r="M40">
        <v>0</v>
      </c>
      <c r="N40">
        <v>4</v>
      </c>
      <c r="O40">
        <f>players[[#This Row],[Goals]]+players[[#This Row],[Assists]]</f>
        <v>12</v>
      </c>
      <c r="P40" s="1">
        <f>IF(players[[#This Row],[Matches]]&gt;0,players[[#This Row],[Total Goal Involvement]]/players[[#This Row],[Matches]],0)</f>
        <v>0.66666666666666663</v>
      </c>
      <c r="Q40" s="3">
        <f>players[[#This Row],[Total Goal Involvement per match]]/players[[#This Row],[Markey Value In Millions(£)]]</f>
        <v>1.0582010582010581E-2</v>
      </c>
      <c r="R40">
        <v>0</v>
      </c>
      <c r="S40">
        <v>0</v>
      </c>
      <c r="T40">
        <v>0</v>
      </c>
      <c r="U40">
        <v>6</v>
      </c>
      <c r="V40">
        <v>10</v>
      </c>
    </row>
    <row r="41" spans="1:22" x14ac:dyDescent="0.25">
      <c r="A41">
        <v>39</v>
      </c>
      <c r="B41" t="s">
        <v>97</v>
      </c>
      <c r="C41" t="s">
        <v>43</v>
      </c>
      <c r="D41" t="str" cm="1">
        <f t="array" ref="D4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1">
        <v>26</v>
      </c>
      <c r="F4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" s="2">
        <v>63</v>
      </c>
      <c r="H4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1" t="s">
        <v>50</v>
      </c>
      <c r="J41" t="s">
        <v>51</v>
      </c>
      <c r="K41">
        <v>14</v>
      </c>
      <c r="L41">
        <v>2</v>
      </c>
      <c r="M41">
        <v>0</v>
      </c>
      <c r="N41">
        <v>2</v>
      </c>
      <c r="O41">
        <f>players[[#This Row],[Goals]]+players[[#This Row],[Assists]]</f>
        <v>4</v>
      </c>
      <c r="P41" s="1">
        <f>IF(players[[#This Row],[Matches]]&gt;0,players[[#This Row],[Total Goal Involvement]]/players[[#This Row],[Matches]],0)</f>
        <v>0.2857142857142857</v>
      </c>
      <c r="Q41" s="3">
        <f>players[[#This Row],[Total Goal Involvement per match]]/players[[#This Row],[Markey Value In Millions(£)]]</f>
        <v>4.5351473922902496E-3</v>
      </c>
      <c r="R41">
        <v>0</v>
      </c>
      <c r="S41">
        <v>0</v>
      </c>
      <c r="T41">
        <v>0</v>
      </c>
      <c r="U41">
        <v>0</v>
      </c>
      <c r="V41">
        <v>7</v>
      </c>
    </row>
    <row r="42" spans="1:22" x14ac:dyDescent="0.25">
      <c r="A42">
        <v>40</v>
      </c>
      <c r="B42" t="s">
        <v>98</v>
      </c>
      <c r="C42" t="s">
        <v>99</v>
      </c>
      <c r="D42" t="str" cm="1">
        <f t="array" ref="D4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2">
        <v>28</v>
      </c>
      <c r="F4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" s="2">
        <v>63</v>
      </c>
      <c r="H4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2" t="s">
        <v>100</v>
      </c>
      <c r="J42" t="s">
        <v>65</v>
      </c>
      <c r="K42">
        <v>16</v>
      </c>
      <c r="L42">
        <v>0</v>
      </c>
      <c r="M42">
        <v>0</v>
      </c>
      <c r="N42">
        <v>0</v>
      </c>
      <c r="O42">
        <f>players[[#This Row],[Goals]]+players[[#This Row],[Assists]]</f>
        <v>0</v>
      </c>
      <c r="P42" s="1">
        <f>IF(players[[#This Row],[Matches]]&gt;0,players[[#This Row],[Total Goal Involvement]]/players[[#This Row],[Matches]],0)</f>
        <v>0</v>
      </c>
      <c r="Q42" s="3">
        <f>players[[#This Row],[Total Goal Involvement per match]]/players[[#This Row],[Markey Value In Millions(£)]]</f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>
        <v>41</v>
      </c>
      <c r="B43" t="s">
        <v>101</v>
      </c>
      <c r="C43" t="s">
        <v>49</v>
      </c>
      <c r="D43" t="str" cm="1">
        <f t="array" ref="D4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3">
        <v>29</v>
      </c>
      <c r="F4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" s="2">
        <v>63</v>
      </c>
      <c r="H4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3" t="s">
        <v>39</v>
      </c>
      <c r="J43" t="s">
        <v>102</v>
      </c>
      <c r="K43">
        <v>15</v>
      </c>
      <c r="L43">
        <v>0</v>
      </c>
      <c r="M43">
        <v>0</v>
      </c>
      <c r="N43">
        <v>1</v>
      </c>
      <c r="O43">
        <f>players[[#This Row],[Goals]]+players[[#This Row],[Assists]]</f>
        <v>1</v>
      </c>
      <c r="P43" s="1">
        <f>IF(players[[#This Row],[Matches]]&gt;0,players[[#This Row],[Total Goal Involvement]]/players[[#This Row],[Matches]],0)</f>
        <v>6.6666666666666666E-2</v>
      </c>
      <c r="Q43" s="3">
        <f>players[[#This Row],[Total Goal Involvement per match]]/players[[#This Row],[Markey Value In Millions(£)]]</f>
        <v>1.0582010582010583E-3</v>
      </c>
      <c r="R43">
        <v>4</v>
      </c>
      <c r="S43">
        <v>0</v>
      </c>
      <c r="T43">
        <v>0</v>
      </c>
      <c r="U43">
        <v>1</v>
      </c>
      <c r="V43">
        <v>2</v>
      </c>
    </row>
    <row r="44" spans="1:22" x14ac:dyDescent="0.25">
      <c r="A44">
        <v>42</v>
      </c>
      <c r="B44" t="s">
        <v>103</v>
      </c>
      <c r="C44" t="s">
        <v>37</v>
      </c>
      <c r="D44" t="str" cm="1">
        <f t="array" ref="D4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4">
        <v>18</v>
      </c>
      <c r="F44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44" s="2">
        <v>58.5</v>
      </c>
      <c r="H4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4" t="s">
        <v>50</v>
      </c>
      <c r="J44" t="s">
        <v>104</v>
      </c>
      <c r="K44">
        <v>14</v>
      </c>
      <c r="L44">
        <v>7</v>
      </c>
      <c r="M44">
        <v>0</v>
      </c>
      <c r="N44">
        <v>7</v>
      </c>
      <c r="O44">
        <f>players[[#This Row],[Goals]]+players[[#This Row],[Assists]]</f>
        <v>14</v>
      </c>
      <c r="P44" s="1">
        <f>IF(players[[#This Row],[Matches]]&gt;0,players[[#This Row],[Total Goal Involvement]]/players[[#This Row],[Matches]],0)</f>
        <v>1</v>
      </c>
      <c r="Q44" s="3">
        <f>players[[#This Row],[Total Goal Involvement per match]]/players[[#This Row],[Markey Value In Millions(£)]]</f>
        <v>1.7094017094017096E-2</v>
      </c>
      <c r="R44">
        <v>2</v>
      </c>
      <c r="S44">
        <v>0</v>
      </c>
      <c r="T44">
        <v>0</v>
      </c>
      <c r="U44">
        <v>4</v>
      </c>
      <c r="V44">
        <v>8</v>
      </c>
    </row>
    <row r="45" spans="1:22" x14ac:dyDescent="0.25">
      <c r="A45">
        <v>43</v>
      </c>
      <c r="B45" t="s">
        <v>105</v>
      </c>
      <c r="C45" t="s">
        <v>106</v>
      </c>
      <c r="D45" t="str" cm="1">
        <f t="array" ref="D4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5">
        <v>20</v>
      </c>
      <c r="F45" t="str">
        <f>IF(players[[#This Row],[Age]]&gt;34,"Veterans",IF(players[[#This Row],[Age]]&gt;29,"Experienced",IF(players[[#This Row],[Age]]&gt;23,"Career peak",IF(players[[#This Row],[Age]]&gt;19,"Young","Teenagers"))))</f>
        <v>Young</v>
      </c>
      <c r="G45" s="2">
        <v>58.5</v>
      </c>
      <c r="H4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5" t="s">
        <v>24</v>
      </c>
      <c r="J45" t="s">
        <v>107</v>
      </c>
      <c r="K45">
        <v>13</v>
      </c>
      <c r="L45">
        <v>2</v>
      </c>
      <c r="M45">
        <v>0</v>
      </c>
      <c r="N45">
        <v>2</v>
      </c>
      <c r="O45">
        <f>players[[#This Row],[Goals]]+players[[#This Row],[Assists]]</f>
        <v>4</v>
      </c>
      <c r="P45" s="1">
        <f>IF(players[[#This Row],[Matches]]&gt;0,players[[#This Row],[Total Goal Involvement]]/players[[#This Row],[Matches]],0)</f>
        <v>0.30769230769230771</v>
      </c>
      <c r="Q45" s="3">
        <f>players[[#This Row],[Total Goal Involvement per match]]/players[[#This Row],[Markey Value In Millions(£)]]</f>
        <v>5.2596975673898753E-3</v>
      </c>
      <c r="R45">
        <v>1</v>
      </c>
      <c r="S45">
        <v>0</v>
      </c>
      <c r="T45">
        <v>0</v>
      </c>
      <c r="U45">
        <v>2</v>
      </c>
      <c r="V45">
        <v>7</v>
      </c>
    </row>
    <row r="46" spans="1:22" x14ac:dyDescent="0.25">
      <c r="A46">
        <v>44</v>
      </c>
      <c r="B46" t="s">
        <v>108</v>
      </c>
      <c r="C46" t="s">
        <v>43</v>
      </c>
      <c r="D46" t="str" cm="1">
        <f t="array" ref="D4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6">
        <v>23</v>
      </c>
      <c r="F46" t="str">
        <f>IF(players[[#This Row],[Age]]&gt;34,"Veterans",IF(players[[#This Row],[Age]]&gt;29,"Experienced",IF(players[[#This Row],[Age]]&gt;23,"Career peak",IF(players[[#This Row],[Age]]&gt;19,"Young","Teenagers"))))</f>
        <v>Young</v>
      </c>
      <c r="G46" s="2">
        <v>58.5</v>
      </c>
      <c r="H4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6" t="s">
        <v>109</v>
      </c>
      <c r="J46" t="s">
        <v>102</v>
      </c>
      <c r="K46">
        <v>12</v>
      </c>
      <c r="L46">
        <v>0</v>
      </c>
      <c r="M46">
        <v>0</v>
      </c>
      <c r="N46">
        <v>1</v>
      </c>
      <c r="O46">
        <f>players[[#This Row],[Goals]]+players[[#This Row],[Assists]]</f>
        <v>1</v>
      </c>
      <c r="P46" s="1">
        <f>IF(players[[#This Row],[Matches]]&gt;0,players[[#This Row],[Total Goal Involvement]]/players[[#This Row],[Matches]],0)</f>
        <v>8.3333333333333329E-2</v>
      </c>
      <c r="Q46" s="3">
        <f>players[[#This Row],[Total Goal Involvement per match]]/players[[#This Row],[Markey Value In Millions(£)]]</f>
        <v>1.4245014245014244E-3</v>
      </c>
      <c r="R46">
        <v>0</v>
      </c>
      <c r="S46">
        <v>0</v>
      </c>
      <c r="T46">
        <v>0</v>
      </c>
      <c r="U46">
        <v>2</v>
      </c>
      <c r="V46">
        <v>4</v>
      </c>
    </row>
    <row r="47" spans="1:22" x14ac:dyDescent="0.25">
      <c r="A47">
        <v>45</v>
      </c>
      <c r="B47" t="s">
        <v>110</v>
      </c>
      <c r="C47" t="s">
        <v>99</v>
      </c>
      <c r="D47" t="str" cm="1">
        <f t="array" ref="D4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7">
        <v>22</v>
      </c>
      <c r="F47" t="str">
        <f>IF(players[[#This Row],[Age]]&gt;34,"Veterans",IF(players[[#This Row],[Age]]&gt;29,"Experienced",IF(players[[#This Row],[Age]]&gt;23,"Career peak",IF(players[[#This Row],[Age]]&gt;19,"Young","Teenagers"))))</f>
        <v>Young</v>
      </c>
      <c r="G47" s="2">
        <v>58.5</v>
      </c>
      <c r="H4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7" t="s">
        <v>87</v>
      </c>
      <c r="J47" t="s">
        <v>19</v>
      </c>
      <c r="K47">
        <v>7</v>
      </c>
      <c r="L47">
        <v>0</v>
      </c>
      <c r="M47">
        <v>0</v>
      </c>
      <c r="N47">
        <v>0</v>
      </c>
      <c r="O47">
        <f>players[[#This Row],[Goals]]+players[[#This Row],[Assists]]</f>
        <v>0</v>
      </c>
      <c r="P47" s="1">
        <f>IF(players[[#This Row],[Matches]]&gt;0,players[[#This Row],[Total Goal Involvement]]/players[[#This Row],[Matches]],0)</f>
        <v>0</v>
      </c>
      <c r="Q47" s="3">
        <f>players[[#This Row],[Total Goal Involvement per match]]/players[[#This Row],[Markey Value In Millions(£)]]</f>
        <v>0</v>
      </c>
      <c r="R47">
        <v>2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>
        <v>46</v>
      </c>
      <c r="B48" t="s">
        <v>111</v>
      </c>
      <c r="C48" t="s">
        <v>43</v>
      </c>
      <c r="D48" t="str" cm="1">
        <f t="array" ref="D4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8">
        <v>24</v>
      </c>
      <c r="F4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" s="2">
        <v>58.5</v>
      </c>
      <c r="H4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8" t="s">
        <v>87</v>
      </c>
      <c r="J48" t="s">
        <v>63</v>
      </c>
      <c r="K48">
        <v>16</v>
      </c>
      <c r="L48">
        <v>1</v>
      </c>
      <c r="M48">
        <v>0</v>
      </c>
      <c r="N48">
        <v>6</v>
      </c>
      <c r="O48">
        <f>players[[#This Row],[Goals]]+players[[#This Row],[Assists]]</f>
        <v>7</v>
      </c>
      <c r="P48" s="1">
        <f>IF(players[[#This Row],[Matches]]&gt;0,players[[#This Row],[Total Goal Involvement]]/players[[#This Row],[Matches]],0)</f>
        <v>0.4375</v>
      </c>
      <c r="Q48" s="3">
        <f>players[[#This Row],[Total Goal Involvement per match]]/players[[#This Row],[Markey Value In Millions(£)]]</f>
        <v>7.478632478632479E-3</v>
      </c>
      <c r="R48">
        <v>3</v>
      </c>
      <c r="S48">
        <v>0</v>
      </c>
      <c r="T48">
        <v>0</v>
      </c>
      <c r="U48">
        <v>0</v>
      </c>
      <c r="V48">
        <v>8</v>
      </c>
    </row>
    <row r="49" spans="1:22" x14ac:dyDescent="0.25">
      <c r="A49">
        <v>47</v>
      </c>
      <c r="B49" t="s">
        <v>112</v>
      </c>
      <c r="C49" t="s">
        <v>77</v>
      </c>
      <c r="D49" t="str" cm="1">
        <f t="array" ref="D4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9">
        <v>27</v>
      </c>
      <c r="F4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" s="2">
        <v>58.5</v>
      </c>
      <c r="H4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High Price</v>
      </c>
      <c r="I49" t="s">
        <v>113</v>
      </c>
      <c r="J49" t="s">
        <v>32</v>
      </c>
      <c r="K49">
        <v>12</v>
      </c>
      <c r="L49">
        <v>0</v>
      </c>
      <c r="M49">
        <v>0</v>
      </c>
      <c r="N49">
        <v>2</v>
      </c>
      <c r="O49">
        <f>players[[#This Row],[Goals]]+players[[#This Row],[Assists]]</f>
        <v>2</v>
      </c>
      <c r="P49" s="1">
        <f>IF(players[[#This Row],[Matches]]&gt;0,players[[#This Row],[Total Goal Involvement]]/players[[#This Row],[Matches]],0)</f>
        <v>0.16666666666666666</v>
      </c>
      <c r="Q49" s="3">
        <f>players[[#This Row],[Total Goal Involvement per match]]/players[[#This Row],[Markey Value In Millions(£)]]</f>
        <v>2.8490028490028487E-3</v>
      </c>
      <c r="R49">
        <v>2</v>
      </c>
      <c r="S49">
        <v>0</v>
      </c>
      <c r="T49">
        <v>0</v>
      </c>
      <c r="U49">
        <v>1</v>
      </c>
      <c r="V49">
        <v>2</v>
      </c>
    </row>
    <row r="50" spans="1:22" x14ac:dyDescent="0.25">
      <c r="A50">
        <v>48</v>
      </c>
      <c r="B50" t="s">
        <v>114</v>
      </c>
      <c r="C50" t="s">
        <v>27</v>
      </c>
      <c r="D50" t="str" cm="1">
        <f t="array" ref="D5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50">
        <v>19</v>
      </c>
      <c r="F50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50" s="2">
        <v>54</v>
      </c>
      <c r="H5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0" t="s">
        <v>59</v>
      </c>
      <c r="J50" t="s">
        <v>45</v>
      </c>
      <c r="K50">
        <v>8</v>
      </c>
      <c r="L50">
        <v>4</v>
      </c>
      <c r="M50">
        <v>0</v>
      </c>
      <c r="N50">
        <v>1</v>
      </c>
      <c r="O50">
        <f>players[[#This Row],[Goals]]+players[[#This Row],[Assists]]</f>
        <v>5</v>
      </c>
      <c r="P50" s="1">
        <f>IF(players[[#This Row],[Matches]]&gt;0,players[[#This Row],[Total Goal Involvement]]/players[[#This Row],[Matches]],0)</f>
        <v>0.625</v>
      </c>
      <c r="Q50" s="3">
        <f>players[[#This Row],[Total Goal Involvement per match]]/players[[#This Row],[Markey Value In Millions(£)]]</f>
        <v>1.1574074074074073E-2</v>
      </c>
      <c r="R50">
        <v>0</v>
      </c>
      <c r="S50">
        <v>0</v>
      </c>
      <c r="T50">
        <v>0</v>
      </c>
      <c r="U50">
        <v>4</v>
      </c>
      <c r="V50">
        <v>4</v>
      </c>
    </row>
    <row r="51" spans="1:22" x14ac:dyDescent="0.25">
      <c r="A51">
        <v>49</v>
      </c>
      <c r="B51" t="s">
        <v>115</v>
      </c>
      <c r="C51" t="s">
        <v>71</v>
      </c>
      <c r="D51" t="str" cm="1">
        <f t="array" ref="D5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51">
        <v>23</v>
      </c>
      <c r="F51" t="str">
        <f>IF(players[[#This Row],[Age]]&gt;34,"Veterans",IF(players[[#This Row],[Age]]&gt;29,"Experienced",IF(players[[#This Row],[Age]]&gt;23,"Career peak",IF(players[[#This Row],[Age]]&gt;19,"Young","Teenagers"))))</f>
        <v>Young</v>
      </c>
      <c r="G51" s="2">
        <v>54</v>
      </c>
      <c r="H5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1" t="s">
        <v>18</v>
      </c>
      <c r="J51" t="s">
        <v>116</v>
      </c>
      <c r="K51">
        <v>13</v>
      </c>
      <c r="L51">
        <v>0</v>
      </c>
      <c r="M51">
        <v>0</v>
      </c>
      <c r="N51">
        <v>0</v>
      </c>
      <c r="O51">
        <f>players[[#This Row],[Goals]]+players[[#This Row],[Assists]]</f>
        <v>0</v>
      </c>
      <c r="P51" s="1">
        <f>IF(players[[#This Row],[Matches]]&gt;0,players[[#This Row],[Total Goal Involvement]]/players[[#This Row],[Matches]],0)</f>
        <v>0</v>
      </c>
      <c r="Q51" s="3">
        <f>players[[#This Row],[Total Goal Involvement per match]]/players[[#This Row],[Markey Value In Millions(£)]]</f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>
        <v>50</v>
      </c>
      <c r="B52" t="s">
        <v>117</v>
      </c>
      <c r="C52" t="s">
        <v>17</v>
      </c>
      <c r="D52" t="str" cm="1">
        <f t="array" ref="D5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52">
        <v>22</v>
      </c>
      <c r="F52" t="str">
        <f>IF(players[[#This Row],[Age]]&gt;34,"Veterans",IF(players[[#This Row],[Age]]&gt;29,"Experienced",IF(players[[#This Row],[Age]]&gt;23,"Career peak",IF(players[[#This Row],[Age]]&gt;19,"Young","Teenagers"))))</f>
        <v>Young</v>
      </c>
      <c r="G52" s="2">
        <v>54</v>
      </c>
      <c r="H5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2" t="s">
        <v>118</v>
      </c>
      <c r="J52" t="s">
        <v>119</v>
      </c>
      <c r="K52">
        <v>13</v>
      </c>
      <c r="L52">
        <v>9</v>
      </c>
      <c r="M52">
        <v>0</v>
      </c>
      <c r="N52">
        <v>2</v>
      </c>
      <c r="O52">
        <f>players[[#This Row],[Goals]]+players[[#This Row],[Assists]]</f>
        <v>11</v>
      </c>
      <c r="P52" s="1">
        <f>IF(players[[#This Row],[Matches]]&gt;0,players[[#This Row],[Total Goal Involvement]]/players[[#This Row],[Matches]],0)</f>
        <v>0.84615384615384615</v>
      </c>
      <c r="Q52" s="3">
        <f>players[[#This Row],[Total Goal Involvement per match]]/players[[#This Row],[Markey Value In Millions(£)]]</f>
        <v>1.5669515669515671E-2</v>
      </c>
      <c r="R52">
        <v>2</v>
      </c>
      <c r="S52">
        <v>0</v>
      </c>
      <c r="T52">
        <v>1</v>
      </c>
      <c r="U52">
        <v>2</v>
      </c>
      <c r="V52">
        <v>6</v>
      </c>
    </row>
    <row r="53" spans="1:22" x14ac:dyDescent="0.25">
      <c r="A53">
        <v>51</v>
      </c>
      <c r="B53" t="s">
        <v>120</v>
      </c>
      <c r="C53" t="s">
        <v>17</v>
      </c>
      <c r="D53" t="str" cm="1">
        <f t="array" ref="D5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53">
        <v>24</v>
      </c>
      <c r="F5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3" s="2">
        <v>54</v>
      </c>
      <c r="H5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3" t="s">
        <v>39</v>
      </c>
      <c r="J53" t="s">
        <v>28</v>
      </c>
      <c r="K53">
        <v>14</v>
      </c>
      <c r="L53">
        <v>4</v>
      </c>
      <c r="M53">
        <v>0</v>
      </c>
      <c r="N53">
        <v>5</v>
      </c>
      <c r="O53">
        <f>players[[#This Row],[Goals]]+players[[#This Row],[Assists]]</f>
        <v>9</v>
      </c>
      <c r="P53" s="1">
        <f>IF(players[[#This Row],[Matches]]&gt;0,players[[#This Row],[Total Goal Involvement]]/players[[#This Row],[Matches]],0)</f>
        <v>0.6428571428571429</v>
      </c>
      <c r="Q53" s="3">
        <f>players[[#This Row],[Total Goal Involvement per match]]/players[[#This Row],[Markey Value In Millions(£)]]</f>
        <v>1.1904761904761906E-2</v>
      </c>
      <c r="R53">
        <v>0</v>
      </c>
      <c r="S53">
        <v>0</v>
      </c>
      <c r="T53">
        <v>0</v>
      </c>
      <c r="U53">
        <v>5</v>
      </c>
      <c r="V53">
        <v>4</v>
      </c>
    </row>
    <row r="54" spans="1:22" x14ac:dyDescent="0.25">
      <c r="A54">
        <v>52</v>
      </c>
      <c r="B54" t="s">
        <v>121</v>
      </c>
      <c r="C54" t="s">
        <v>71</v>
      </c>
      <c r="D54" t="str" cm="1">
        <f t="array" ref="D5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54">
        <v>23</v>
      </c>
      <c r="F54" t="str">
        <f>IF(players[[#This Row],[Age]]&gt;34,"Veterans",IF(players[[#This Row],[Age]]&gt;29,"Experienced",IF(players[[#This Row],[Age]]&gt;23,"Career peak",IF(players[[#This Row],[Age]]&gt;19,"Young","Teenagers"))))</f>
        <v>Young</v>
      </c>
      <c r="G54" s="2">
        <v>54</v>
      </c>
      <c r="H5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4" t="s">
        <v>18</v>
      </c>
      <c r="J54" t="s">
        <v>51</v>
      </c>
      <c r="K54">
        <v>16</v>
      </c>
      <c r="L54">
        <v>0</v>
      </c>
      <c r="M54">
        <v>0</v>
      </c>
      <c r="N54">
        <v>4</v>
      </c>
      <c r="O54">
        <f>players[[#This Row],[Goals]]+players[[#This Row],[Assists]]</f>
        <v>4</v>
      </c>
      <c r="P54" s="1">
        <f>IF(players[[#This Row],[Matches]]&gt;0,players[[#This Row],[Total Goal Involvement]]/players[[#This Row],[Matches]],0)</f>
        <v>0.25</v>
      </c>
      <c r="Q54" s="3">
        <f>players[[#This Row],[Total Goal Involvement per match]]/players[[#This Row],[Markey Value In Millions(£)]]</f>
        <v>4.6296296296296294E-3</v>
      </c>
      <c r="R54">
        <v>5</v>
      </c>
      <c r="S54">
        <v>0</v>
      </c>
      <c r="T54">
        <v>0</v>
      </c>
      <c r="U54">
        <v>1</v>
      </c>
      <c r="V54">
        <v>2</v>
      </c>
    </row>
    <row r="55" spans="1:22" x14ac:dyDescent="0.25">
      <c r="A55">
        <v>53</v>
      </c>
      <c r="B55" t="s">
        <v>122</v>
      </c>
      <c r="C55" t="s">
        <v>71</v>
      </c>
      <c r="D55" t="str" cm="1">
        <f t="array" ref="D5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55">
        <v>22</v>
      </c>
      <c r="F55" t="str">
        <f>IF(players[[#This Row],[Age]]&gt;34,"Veterans",IF(players[[#This Row],[Age]]&gt;29,"Experienced",IF(players[[#This Row],[Age]]&gt;23,"Career peak",IF(players[[#This Row],[Age]]&gt;19,"Young","Teenagers"))))</f>
        <v>Young</v>
      </c>
      <c r="G55" s="2">
        <v>54</v>
      </c>
      <c r="H5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5" t="s">
        <v>87</v>
      </c>
      <c r="J55" t="s">
        <v>63</v>
      </c>
      <c r="K55">
        <v>15</v>
      </c>
      <c r="L55">
        <v>0</v>
      </c>
      <c r="M55">
        <v>0</v>
      </c>
      <c r="N55">
        <v>1</v>
      </c>
      <c r="O55">
        <f>players[[#This Row],[Goals]]+players[[#This Row],[Assists]]</f>
        <v>1</v>
      </c>
      <c r="P55" s="1">
        <f>IF(players[[#This Row],[Matches]]&gt;0,players[[#This Row],[Total Goal Involvement]]/players[[#This Row],[Matches]],0)</f>
        <v>6.6666666666666666E-2</v>
      </c>
      <c r="Q55" s="3">
        <f>players[[#This Row],[Total Goal Involvement per match]]/players[[#This Row],[Markey Value In Millions(£)]]</f>
        <v>1.2345679012345679E-3</v>
      </c>
      <c r="R55">
        <v>2</v>
      </c>
      <c r="S55">
        <v>0</v>
      </c>
      <c r="T55">
        <v>0</v>
      </c>
      <c r="U55">
        <v>1</v>
      </c>
      <c r="V55">
        <v>6</v>
      </c>
    </row>
    <row r="56" spans="1:22" x14ac:dyDescent="0.25">
      <c r="A56">
        <v>54</v>
      </c>
      <c r="B56" t="s">
        <v>123</v>
      </c>
      <c r="C56" t="s">
        <v>49</v>
      </c>
      <c r="D56" t="str" cm="1">
        <f t="array" ref="D5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56">
        <v>24</v>
      </c>
      <c r="F5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6" s="2">
        <v>54</v>
      </c>
      <c r="H5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6" t="s">
        <v>118</v>
      </c>
      <c r="J56" t="s">
        <v>124</v>
      </c>
      <c r="K56">
        <v>11</v>
      </c>
      <c r="L56">
        <v>0</v>
      </c>
      <c r="M56">
        <v>0</v>
      </c>
      <c r="N56">
        <v>0</v>
      </c>
      <c r="O56">
        <f>players[[#This Row],[Goals]]+players[[#This Row],[Assists]]</f>
        <v>0</v>
      </c>
      <c r="P56" s="1">
        <f>IF(players[[#This Row],[Matches]]&gt;0,players[[#This Row],[Total Goal Involvement]]/players[[#This Row],[Matches]],0)</f>
        <v>0</v>
      </c>
      <c r="Q56" s="3">
        <f>players[[#This Row],[Total Goal Involvement per match]]/players[[#This Row],[Markey Value In Millions(£)]]</f>
        <v>0</v>
      </c>
      <c r="R56">
        <v>2</v>
      </c>
      <c r="S56">
        <v>1</v>
      </c>
      <c r="T56">
        <v>0</v>
      </c>
      <c r="U56">
        <v>1</v>
      </c>
      <c r="V56">
        <v>0</v>
      </c>
    </row>
    <row r="57" spans="1:22" x14ac:dyDescent="0.25">
      <c r="A57">
        <v>55</v>
      </c>
      <c r="B57" t="s">
        <v>125</v>
      </c>
      <c r="C57" t="s">
        <v>71</v>
      </c>
      <c r="D57" t="str" cm="1">
        <f t="array" ref="D5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57">
        <v>26</v>
      </c>
      <c r="F5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7" s="2">
        <v>54</v>
      </c>
      <c r="H5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7" t="s">
        <v>109</v>
      </c>
      <c r="J57" t="s">
        <v>65</v>
      </c>
      <c r="K57">
        <v>13</v>
      </c>
      <c r="L57">
        <v>0</v>
      </c>
      <c r="M57">
        <v>0</v>
      </c>
      <c r="N57">
        <v>0</v>
      </c>
      <c r="O57">
        <f>players[[#This Row],[Goals]]+players[[#This Row],[Assists]]</f>
        <v>0</v>
      </c>
      <c r="P57" s="1">
        <f>IF(players[[#This Row],[Matches]]&gt;0,players[[#This Row],[Total Goal Involvement]]/players[[#This Row],[Matches]],0)</f>
        <v>0</v>
      </c>
      <c r="Q57" s="3">
        <f>players[[#This Row],[Total Goal Involvement per match]]/players[[#This Row],[Markey Value In Millions(£)]]</f>
        <v>0</v>
      </c>
      <c r="R57">
        <v>4</v>
      </c>
      <c r="S57">
        <v>0</v>
      </c>
      <c r="T57">
        <v>0</v>
      </c>
      <c r="U57">
        <v>1</v>
      </c>
      <c r="V57">
        <v>1</v>
      </c>
    </row>
    <row r="58" spans="1:22" x14ac:dyDescent="0.25">
      <c r="A58">
        <v>56</v>
      </c>
      <c r="B58" t="s">
        <v>126</v>
      </c>
      <c r="C58" t="s">
        <v>49</v>
      </c>
      <c r="D58" t="str" cm="1">
        <f t="array" ref="D5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58">
        <v>28</v>
      </c>
      <c r="F5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8" s="2">
        <v>54</v>
      </c>
      <c r="H5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8" t="s">
        <v>39</v>
      </c>
      <c r="J58" t="s">
        <v>32</v>
      </c>
      <c r="K58">
        <v>11</v>
      </c>
      <c r="L58">
        <v>1</v>
      </c>
      <c r="M58">
        <v>0</v>
      </c>
      <c r="N58">
        <v>1</v>
      </c>
      <c r="O58">
        <f>players[[#This Row],[Goals]]+players[[#This Row],[Assists]]</f>
        <v>2</v>
      </c>
      <c r="P58" s="1">
        <f>IF(players[[#This Row],[Matches]]&gt;0,players[[#This Row],[Total Goal Involvement]]/players[[#This Row],[Matches]],0)</f>
        <v>0.18181818181818182</v>
      </c>
      <c r="Q58" s="3">
        <f>players[[#This Row],[Total Goal Involvement per match]]/players[[#This Row],[Markey Value In Millions(£)]]</f>
        <v>3.3670033670033673E-3</v>
      </c>
      <c r="R58">
        <v>2</v>
      </c>
      <c r="S58">
        <v>0</v>
      </c>
      <c r="T58">
        <v>0</v>
      </c>
      <c r="U58">
        <v>2</v>
      </c>
      <c r="V58">
        <v>2</v>
      </c>
    </row>
    <row r="59" spans="1:22" x14ac:dyDescent="0.25">
      <c r="A59">
        <v>57</v>
      </c>
      <c r="B59" t="s">
        <v>127</v>
      </c>
      <c r="C59" t="s">
        <v>71</v>
      </c>
      <c r="D59" t="str" cm="1">
        <f t="array" ref="D5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59">
        <v>26</v>
      </c>
      <c r="F5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9" s="2">
        <v>54</v>
      </c>
      <c r="H5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59" t="s">
        <v>128</v>
      </c>
      <c r="J59" t="s">
        <v>63</v>
      </c>
      <c r="K59">
        <v>15</v>
      </c>
      <c r="L59">
        <v>3</v>
      </c>
      <c r="M59">
        <v>0</v>
      </c>
      <c r="N59">
        <v>0</v>
      </c>
      <c r="O59">
        <f>players[[#This Row],[Goals]]+players[[#This Row],[Assists]]</f>
        <v>3</v>
      </c>
      <c r="P59" s="1">
        <f>IF(players[[#This Row],[Matches]]&gt;0,players[[#This Row],[Total Goal Involvement]]/players[[#This Row],[Matches]],0)</f>
        <v>0.2</v>
      </c>
      <c r="Q59" s="3">
        <f>players[[#This Row],[Total Goal Involvement per match]]/players[[#This Row],[Markey Value In Millions(£)]]</f>
        <v>3.7037037037037038E-3</v>
      </c>
      <c r="R59">
        <v>2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>
        <v>58</v>
      </c>
      <c r="B60" t="s">
        <v>129</v>
      </c>
      <c r="C60" t="s">
        <v>27</v>
      </c>
      <c r="D60" t="str" cm="1">
        <f t="array" ref="D6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60">
        <v>25</v>
      </c>
      <c r="F6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0" s="2">
        <v>54</v>
      </c>
      <c r="H6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0" t="s">
        <v>50</v>
      </c>
      <c r="J60" t="s">
        <v>51</v>
      </c>
      <c r="K60">
        <v>18</v>
      </c>
      <c r="L60">
        <v>8</v>
      </c>
      <c r="M60">
        <v>0</v>
      </c>
      <c r="N60">
        <v>10</v>
      </c>
      <c r="O60">
        <f>players[[#This Row],[Goals]]+players[[#This Row],[Assists]]</f>
        <v>18</v>
      </c>
      <c r="P60" s="1">
        <f>IF(players[[#This Row],[Matches]]&gt;0,players[[#This Row],[Total Goal Involvement]]/players[[#This Row],[Matches]],0)</f>
        <v>1</v>
      </c>
      <c r="Q60" s="3">
        <f>players[[#This Row],[Total Goal Involvement per match]]/players[[#This Row],[Markey Value In Millions(£)]]</f>
        <v>1.8518518518518517E-2</v>
      </c>
      <c r="R60">
        <v>2</v>
      </c>
      <c r="S60">
        <v>0</v>
      </c>
      <c r="T60">
        <v>0</v>
      </c>
      <c r="U60">
        <v>3</v>
      </c>
      <c r="V60">
        <v>11</v>
      </c>
    </row>
    <row r="61" spans="1:22" x14ac:dyDescent="0.25">
      <c r="A61">
        <v>59</v>
      </c>
      <c r="B61" t="s">
        <v>130</v>
      </c>
      <c r="C61" t="s">
        <v>43</v>
      </c>
      <c r="D61" t="str" cm="1">
        <f t="array" ref="D6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61">
        <v>28</v>
      </c>
      <c r="F6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1" s="2">
        <v>54</v>
      </c>
      <c r="H6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1" t="s">
        <v>18</v>
      </c>
      <c r="J61" t="s">
        <v>41</v>
      </c>
      <c r="K61">
        <v>13</v>
      </c>
      <c r="L61">
        <v>0</v>
      </c>
      <c r="M61">
        <v>0</v>
      </c>
      <c r="N61">
        <v>7</v>
      </c>
      <c r="O61">
        <f>players[[#This Row],[Goals]]+players[[#This Row],[Assists]]</f>
        <v>7</v>
      </c>
      <c r="P61" s="1">
        <f>IF(players[[#This Row],[Matches]]&gt;0,players[[#This Row],[Total Goal Involvement]]/players[[#This Row],[Matches]],0)</f>
        <v>0.53846153846153844</v>
      </c>
      <c r="Q61" s="3">
        <f>players[[#This Row],[Total Goal Involvement per match]]/players[[#This Row],[Markey Value In Millions(£)]]</f>
        <v>9.9715099715099714E-3</v>
      </c>
      <c r="R61">
        <v>4</v>
      </c>
      <c r="S61">
        <v>0</v>
      </c>
      <c r="T61">
        <v>1</v>
      </c>
      <c r="U61">
        <v>3</v>
      </c>
      <c r="V61">
        <v>4</v>
      </c>
    </row>
    <row r="62" spans="1:22" x14ac:dyDescent="0.25">
      <c r="A62">
        <v>60</v>
      </c>
      <c r="B62" t="s">
        <v>131</v>
      </c>
      <c r="C62" t="s">
        <v>99</v>
      </c>
      <c r="D62" t="str" cm="1">
        <f t="array" ref="D6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62">
        <v>29</v>
      </c>
      <c r="F6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2" s="2">
        <v>54</v>
      </c>
      <c r="H6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2" t="s">
        <v>34</v>
      </c>
      <c r="J62" t="s">
        <v>102</v>
      </c>
      <c r="K62">
        <v>16</v>
      </c>
      <c r="L62">
        <v>0</v>
      </c>
      <c r="M62">
        <v>0</v>
      </c>
      <c r="N62">
        <v>0</v>
      </c>
      <c r="O62">
        <f>players[[#This Row],[Goals]]+players[[#This Row],[Assists]]</f>
        <v>0</v>
      </c>
      <c r="P62" s="1">
        <f>IF(players[[#This Row],[Matches]]&gt;0,players[[#This Row],[Total Goal Involvement]]/players[[#This Row],[Matches]],0)</f>
        <v>0</v>
      </c>
      <c r="Q62" s="3">
        <f>players[[#This Row],[Total Goal Involvement per match]]/players[[#This Row],[Markey Value In Millions(£)]]</f>
        <v>0</v>
      </c>
      <c r="R62">
        <v>1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>
        <v>61</v>
      </c>
      <c r="B63" t="s">
        <v>132</v>
      </c>
      <c r="C63" t="s">
        <v>99</v>
      </c>
      <c r="D63" t="str" cm="1">
        <f t="array" ref="D6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63">
        <v>29</v>
      </c>
      <c r="F6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3" s="2">
        <v>54</v>
      </c>
      <c r="H6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3" t="s">
        <v>39</v>
      </c>
      <c r="J63" t="s">
        <v>32</v>
      </c>
      <c r="K63">
        <v>14</v>
      </c>
      <c r="L63">
        <v>0</v>
      </c>
      <c r="M63">
        <v>1</v>
      </c>
      <c r="N63">
        <v>0</v>
      </c>
      <c r="O63">
        <f>players[[#This Row],[Goals]]+players[[#This Row],[Assists]]</f>
        <v>0</v>
      </c>
      <c r="P63" s="1">
        <f>IF(players[[#This Row],[Matches]]&gt;0,players[[#This Row],[Total Goal Involvement]]/players[[#This Row],[Matches]],0)</f>
        <v>0</v>
      </c>
      <c r="Q63" s="3">
        <f>players[[#This Row],[Total Goal Involvement per match]]/players[[#This Row],[Markey Value In Millions(£)]]</f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>
        <v>62</v>
      </c>
      <c r="B64" t="s">
        <v>133</v>
      </c>
      <c r="C64" t="s">
        <v>43</v>
      </c>
      <c r="D64" t="str" cm="1">
        <f t="array" ref="D6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64">
        <v>29</v>
      </c>
      <c r="F6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4" s="2">
        <v>54</v>
      </c>
      <c r="H6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4" t="s">
        <v>59</v>
      </c>
      <c r="J64" t="s">
        <v>65</v>
      </c>
      <c r="K64">
        <v>13</v>
      </c>
      <c r="L64">
        <v>0</v>
      </c>
      <c r="M64">
        <v>0</v>
      </c>
      <c r="N64">
        <v>1</v>
      </c>
      <c r="O64">
        <f>players[[#This Row],[Goals]]+players[[#This Row],[Assists]]</f>
        <v>1</v>
      </c>
      <c r="P64" s="1">
        <f>IF(players[[#This Row],[Matches]]&gt;0,players[[#This Row],[Total Goal Involvement]]/players[[#This Row],[Matches]],0)</f>
        <v>7.6923076923076927E-2</v>
      </c>
      <c r="Q64" s="3">
        <f>players[[#This Row],[Total Goal Involvement per match]]/players[[#This Row],[Markey Value In Millions(£)]]</f>
        <v>1.4245014245014246E-3</v>
      </c>
      <c r="R64">
        <v>3</v>
      </c>
      <c r="S64">
        <v>0</v>
      </c>
      <c r="T64">
        <v>0</v>
      </c>
      <c r="U64">
        <v>0</v>
      </c>
      <c r="V64">
        <v>4</v>
      </c>
    </row>
    <row r="65" spans="1:22" x14ac:dyDescent="0.25">
      <c r="A65">
        <v>63</v>
      </c>
      <c r="B65" t="s">
        <v>134</v>
      </c>
      <c r="C65" t="s">
        <v>17</v>
      </c>
      <c r="D65" t="str" cm="1">
        <f t="array" ref="D6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65">
        <v>33</v>
      </c>
      <c r="F65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65" s="2">
        <v>54</v>
      </c>
      <c r="H6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5" t="s">
        <v>135</v>
      </c>
      <c r="J65" t="s">
        <v>51</v>
      </c>
      <c r="K65">
        <v>17</v>
      </c>
      <c r="L65">
        <v>23</v>
      </c>
      <c r="M65">
        <v>0</v>
      </c>
      <c r="N65">
        <v>2</v>
      </c>
      <c r="O65">
        <f>players[[#This Row],[Goals]]+players[[#This Row],[Assists]]</f>
        <v>25</v>
      </c>
      <c r="P65" s="1">
        <f>IF(players[[#This Row],[Matches]]&gt;0,players[[#This Row],[Total Goal Involvement]]/players[[#This Row],[Matches]],0)</f>
        <v>1.4705882352941178</v>
      </c>
      <c r="Q65" s="3">
        <f>players[[#This Row],[Total Goal Involvement per match]]/players[[#This Row],[Markey Value In Millions(£)]]</f>
        <v>2.7233115468409588E-2</v>
      </c>
      <c r="R65">
        <v>0</v>
      </c>
      <c r="S65">
        <v>0</v>
      </c>
      <c r="T65">
        <v>0</v>
      </c>
      <c r="U65">
        <v>0</v>
      </c>
      <c r="V65">
        <v>5</v>
      </c>
    </row>
    <row r="66" spans="1:22" x14ac:dyDescent="0.25">
      <c r="A66">
        <v>64</v>
      </c>
      <c r="B66" t="s">
        <v>136</v>
      </c>
      <c r="C66" t="s">
        <v>43</v>
      </c>
      <c r="D66" t="str" cm="1">
        <f t="array" ref="D6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66">
        <v>19</v>
      </c>
      <c r="F66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66" s="2">
        <v>49.5</v>
      </c>
      <c r="H6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6" t="s">
        <v>18</v>
      </c>
      <c r="J66" t="s">
        <v>102</v>
      </c>
      <c r="K66">
        <v>20</v>
      </c>
      <c r="L66">
        <v>2</v>
      </c>
      <c r="M66">
        <v>0</v>
      </c>
      <c r="N66">
        <v>1</v>
      </c>
      <c r="O66">
        <f>players[[#This Row],[Goals]]+players[[#This Row],[Assists]]</f>
        <v>3</v>
      </c>
      <c r="P66" s="1">
        <f>IF(players[[#This Row],[Matches]]&gt;0,players[[#This Row],[Total Goal Involvement]]/players[[#This Row],[Matches]],0)</f>
        <v>0.15</v>
      </c>
      <c r="Q66" s="3">
        <f>players[[#This Row],[Total Goal Involvement per match]]/players[[#This Row],[Markey Value In Millions(£)]]</f>
        <v>3.0303030303030303E-3</v>
      </c>
      <c r="R66">
        <v>5</v>
      </c>
      <c r="S66">
        <v>0</v>
      </c>
      <c r="T66">
        <v>0</v>
      </c>
      <c r="U66">
        <v>11</v>
      </c>
      <c r="V66">
        <v>5</v>
      </c>
    </row>
    <row r="67" spans="1:22" x14ac:dyDescent="0.25">
      <c r="A67">
        <v>65</v>
      </c>
      <c r="B67" t="s">
        <v>137</v>
      </c>
      <c r="C67" t="s">
        <v>17</v>
      </c>
      <c r="D67" t="str" cm="1">
        <f t="array" ref="D6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67">
        <v>24</v>
      </c>
      <c r="F6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7" s="2">
        <v>49.5</v>
      </c>
      <c r="H6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7" t="s">
        <v>39</v>
      </c>
      <c r="J67" t="s">
        <v>138</v>
      </c>
      <c r="K67">
        <v>7</v>
      </c>
      <c r="L67">
        <v>2</v>
      </c>
      <c r="M67">
        <v>0</v>
      </c>
      <c r="N67">
        <v>1</v>
      </c>
      <c r="O67">
        <f>players[[#This Row],[Goals]]+players[[#This Row],[Assists]]</f>
        <v>3</v>
      </c>
      <c r="P67" s="1">
        <f>IF(players[[#This Row],[Matches]]&gt;0,players[[#This Row],[Total Goal Involvement]]/players[[#This Row],[Matches]],0)</f>
        <v>0.42857142857142855</v>
      </c>
      <c r="Q67" s="3">
        <f>players[[#This Row],[Total Goal Involvement per match]]/players[[#This Row],[Markey Value In Millions(£)]]</f>
        <v>8.658008658008658E-3</v>
      </c>
      <c r="R67">
        <v>4</v>
      </c>
      <c r="S67">
        <v>0</v>
      </c>
      <c r="T67">
        <v>0</v>
      </c>
      <c r="U67">
        <v>1</v>
      </c>
      <c r="V67">
        <v>2</v>
      </c>
    </row>
    <row r="68" spans="1:22" x14ac:dyDescent="0.25">
      <c r="A68">
        <v>66</v>
      </c>
      <c r="B68" t="s">
        <v>139</v>
      </c>
      <c r="C68" t="s">
        <v>43</v>
      </c>
      <c r="D68" t="str" cm="1">
        <f t="array" ref="D6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68">
        <v>24</v>
      </c>
      <c r="F6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8" s="2">
        <v>49.5</v>
      </c>
      <c r="H6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8" t="s">
        <v>140</v>
      </c>
      <c r="J68" t="s">
        <v>141</v>
      </c>
      <c r="K68">
        <v>12</v>
      </c>
      <c r="L68">
        <v>2</v>
      </c>
      <c r="M68">
        <v>0</v>
      </c>
      <c r="N68">
        <v>0</v>
      </c>
      <c r="O68">
        <f>players[[#This Row],[Goals]]+players[[#This Row],[Assists]]</f>
        <v>2</v>
      </c>
      <c r="P68" s="1">
        <f>IF(players[[#This Row],[Matches]]&gt;0,players[[#This Row],[Total Goal Involvement]]/players[[#This Row],[Matches]],0)</f>
        <v>0.16666666666666666</v>
      </c>
      <c r="Q68" s="3">
        <f>players[[#This Row],[Total Goal Involvement per match]]/players[[#This Row],[Markey Value In Millions(£)]]</f>
        <v>3.3670033670033669E-3</v>
      </c>
      <c r="R68">
        <v>1</v>
      </c>
      <c r="S68">
        <v>1</v>
      </c>
      <c r="T68">
        <v>0</v>
      </c>
      <c r="U68">
        <v>2</v>
      </c>
      <c r="V68">
        <v>3</v>
      </c>
    </row>
    <row r="69" spans="1:22" x14ac:dyDescent="0.25">
      <c r="A69">
        <v>67</v>
      </c>
      <c r="B69" t="s">
        <v>142</v>
      </c>
      <c r="C69" t="s">
        <v>43</v>
      </c>
      <c r="D69" t="str" cm="1">
        <f t="array" ref="D6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69">
        <v>24</v>
      </c>
      <c r="F6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69" s="2">
        <v>49.5</v>
      </c>
      <c r="H6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69" t="s">
        <v>34</v>
      </c>
      <c r="J69" t="s">
        <v>124</v>
      </c>
      <c r="K69">
        <v>17</v>
      </c>
      <c r="L69">
        <v>3</v>
      </c>
      <c r="M69">
        <v>0</v>
      </c>
      <c r="N69">
        <v>3</v>
      </c>
      <c r="O69">
        <f>players[[#This Row],[Goals]]+players[[#This Row],[Assists]]</f>
        <v>6</v>
      </c>
      <c r="P69" s="1">
        <f>IF(players[[#This Row],[Matches]]&gt;0,players[[#This Row],[Total Goal Involvement]]/players[[#This Row],[Matches]],0)</f>
        <v>0.35294117647058826</v>
      </c>
      <c r="Q69" s="3">
        <f>players[[#This Row],[Total Goal Involvement per match]]/players[[#This Row],[Markey Value In Millions(£)]]</f>
        <v>7.1301247771836012E-3</v>
      </c>
      <c r="R69">
        <v>2</v>
      </c>
      <c r="S69">
        <v>0</v>
      </c>
      <c r="T69">
        <v>0</v>
      </c>
      <c r="U69">
        <v>1</v>
      </c>
      <c r="V69">
        <v>3</v>
      </c>
    </row>
    <row r="70" spans="1:22" x14ac:dyDescent="0.25">
      <c r="A70">
        <v>68</v>
      </c>
      <c r="B70" t="s">
        <v>143</v>
      </c>
      <c r="C70" t="s">
        <v>30</v>
      </c>
      <c r="D70" t="str" cm="1">
        <f t="array" ref="D7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70">
        <v>25</v>
      </c>
      <c r="F7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70" s="2">
        <v>49.5</v>
      </c>
      <c r="H7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0" t="s">
        <v>18</v>
      </c>
      <c r="J70" t="s">
        <v>51</v>
      </c>
      <c r="K70">
        <v>11</v>
      </c>
      <c r="L70">
        <v>2</v>
      </c>
      <c r="M70">
        <v>0</v>
      </c>
      <c r="N70">
        <v>1</v>
      </c>
      <c r="O70">
        <f>players[[#This Row],[Goals]]+players[[#This Row],[Assists]]</f>
        <v>3</v>
      </c>
      <c r="P70" s="1">
        <f>IF(players[[#This Row],[Matches]]&gt;0,players[[#This Row],[Total Goal Involvement]]/players[[#This Row],[Matches]],0)</f>
        <v>0.27272727272727271</v>
      </c>
      <c r="Q70" s="3">
        <f>players[[#This Row],[Total Goal Involvement per match]]/players[[#This Row],[Markey Value In Millions(£)]]</f>
        <v>5.5096418732782362E-3</v>
      </c>
      <c r="R70">
        <v>0</v>
      </c>
      <c r="S70">
        <v>0</v>
      </c>
      <c r="T70">
        <v>0</v>
      </c>
      <c r="U70">
        <v>6</v>
      </c>
      <c r="V70">
        <v>5</v>
      </c>
    </row>
    <row r="71" spans="1:22" x14ac:dyDescent="0.25">
      <c r="A71">
        <v>69</v>
      </c>
      <c r="B71" t="s">
        <v>144</v>
      </c>
      <c r="C71" t="s">
        <v>49</v>
      </c>
      <c r="D71" t="str" cm="1">
        <f t="array" ref="D7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71">
        <v>30</v>
      </c>
      <c r="F71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71" s="2">
        <v>49.5</v>
      </c>
      <c r="H7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1" t="s">
        <v>18</v>
      </c>
      <c r="J71" t="s">
        <v>35</v>
      </c>
      <c r="K71">
        <v>10</v>
      </c>
      <c r="L71">
        <v>1</v>
      </c>
      <c r="M71">
        <v>0</v>
      </c>
      <c r="N71">
        <v>0</v>
      </c>
      <c r="O71">
        <f>players[[#This Row],[Goals]]+players[[#This Row],[Assists]]</f>
        <v>1</v>
      </c>
      <c r="P71" s="1">
        <f>IF(players[[#This Row],[Matches]]&gt;0,players[[#This Row],[Total Goal Involvement]]/players[[#This Row],[Matches]],0)</f>
        <v>0.1</v>
      </c>
      <c r="Q71" s="3">
        <f>players[[#This Row],[Total Goal Involvement per match]]/players[[#This Row],[Markey Value In Millions(£)]]</f>
        <v>2.0202020202020202E-3</v>
      </c>
      <c r="R71">
        <v>1</v>
      </c>
      <c r="S71">
        <v>0</v>
      </c>
      <c r="T71">
        <v>0</v>
      </c>
      <c r="U71">
        <v>2</v>
      </c>
      <c r="V71">
        <v>7</v>
      </c>
    </row>
    <row r="72" spans="1:22" x14ac:dyDescent="0.25">
      <c r="A72">
        <v>70</v>
      </c>
      <c r="B72" t="s">
        <v>145</v>
      </c>
      <c r="C72" t="s">
        <v>69</v>
      </c>
      <c r="D72" t="str" cm="1">
        <f t="array" ref="D7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72">
        <v>27</v>
      </c>
      <c r="F7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72" s="2">
        <v>49.5</v>
      </c>
      <c r="H7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2" t="s">
        <v>47</v>
      </c>
      <c r="J72" t="s">
        <v>28</v>
      </c>
      <c r="K72">
        <v>17</v>
      </c>
      <c r="L72">
        <v>2</v>
      </c>
      <c r="M72">
        <v>0</v>
      </c>
      <c r="N72">
        <v>5</v>
      </c>
      <c r="O72">
        <f>players[[#This Row],[Goals]]+players[[#This Row],[Assists]]</f>
        <v>7</v>
      </c>
      <c r="P72" s="1">
        <f>IF(players[[#This Row],[Matches]]&gt;0,players[[#This Row],[Total Goal Involvement]]/players[[#This Row],[Matches]],0)</f>
        <v>0.41176470588235292</v>
      </c>
      <c r="Q72" s="3">
        <f>players[[#This Row],[Total Goal Involvement per match]]/players[[#This Row],[Markey Value In Millions(£)]]</f>
        <v>8.3184789067142009E-3</v>
      </c>
      <c r="R72">
        <v>4</v>
      </c>
      <c r="S72">
        <v>0</v>
      </c>
      <c r="T72">
        <v>0</v>
      </c>
      <c r="U72">
        <v>1</v>
      </c>
      <c r="V72">
        <v>1</v>
      </c>
    </row>
    <row r="73" spans="1:22" x14ac:dyDescent="0.25">
      <c r="A73">
        <v>71</v>
      </c>
      <c r="B73" t="s">
        <v>146</v>
      </c>
      <c r="C73" t="s">
        <v>17</v>
      </c>
      <c r="D73" t="str" cm="1">
        <f t="array" ref="D7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73">
        <v>25</v>
      </c>
      <c r="F7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73" s="2">
        <v>49.5</v>
      </c>
      <c r="H7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3" t="s">
        <v>50</v>
      </c>
      <c r="J73" t="s">
        <v>35</v>
      </c>
      <c r="K73">
        <v>10</v>
      </c>
      <c r="L73">
        <v>2</v>
      </c>
      <c r="M73">
        <v>0</v>
      </c>
      <c r="N73">
        <v>1</v>
      </c>
      <c r="O73">
        <f>players[[#This Row],[Goals]]+players[[#This Row],[Assists]]</f>
        <v>3</v>
      </c>
      <c r="P73" s="1">
        <f>IF(players[[#This Row],[Matches]]&gt;0,players[[#This Row],[Total Goal Involvement]]/players[[#This Row],[Matches]],0)</f>
        <v>0.3</v>
      </c>
      <c r="Q73" s="3">
        <f>players[[#This Row],[Total Goal Involvement per match]]/players[[#This Row],[Markey Value In Millions(£)]]</f>
        <v>6.0606060606060606E-3</v>
      </c>
      <c r="R73">
        <v>1</v>
      </c>
      <c r="S73">
        <v>0</v>
      </c>
      <c r="T73">
        <v>0</v>
      </c>
      <c r="U73">
        <v>3</v>
      </c>
      <c r="V73">
        <v>2</v>
      </c>
    </row>
    <row r="74" spans="1:22" x14ac:dyDescent="0.25">
      <c r="A74">
        <v>72</v>
      </c>
      <c r="B74" t="s">
        <v>147</v>
      </c>
      <c r="C74" t="s">
        <v>71</v>
      </c>
      <c r="D74" t="str" cm="1">
        <f t="array" ref="D7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74">
        <v>30</v>
      </c>
      <c r="F74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74" s="2">
        <v>49.5</v>
      </c>
      <c r="H7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4" t="s">
        <v>44</v>
      </c>
      <c r="J74" t="s">
        <v>32</v>
      </c>
      <c r="K74">
        <v>14</v>
      </c>
      <c r="L74">
        <v>0</v>
      </c>
      <c r="M74">
        <v>0</v>
      </c>
      <c r="N74">
        <v>1</v>
      </c>
      <c r="O74">
        <f>players[[#This Row],[Goals]]+players[[#This Row],[Assists]]</f>
        <v>1</v>
      </c>
      <c r="P74" s="1">
        <f>IF(players[[#This Row],[Matches]]&gt;0,players[[#This Row],[Total Goal Involvement]]/players[[#This Row],[Matches]],0)</f>
        <v>7.1428571428571425E-2</v>
      </c>
      <c r="Q74" s="3">
        <f>players[[#This Row],[Total Goal Involvement per match]]/players[[#This Row],[Markey Value In Millions(£)]]</f>
        <v>1.443001443001443E-3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>
        <v>73</v>
      </c>
      <c r="B75" t="s">
        <v>148</v>
      </c>
      <c r="C75" t="s">
        <v>43</v>
      </c>
      <c r="D75" t="str" cm="1">
        <f t="array" ref="D7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75">
        <v>29</v>
      </c>
      <c r="F7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75" s="2">
        <v>49.5</v>
      </c>
      <c r="H7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5" t="s">
        <v>87</v>
      </c>
      <c r="J75" t="s">
        <v>19</v>
      </c>
      <c r="K75">
        <v>7</v>
      </c>
      <c r="L75">
        <v>0</v>
      </c>
      <c r="M75">
        <v>0</v>
      </c>
      <c r="N75">
        <v>0</v>
      </c>
      <c r="O75">
        <f>players[[#This Row],[Goals]]+players[[#This Row],[Assists]]</f>
        <v>0</v>
      </c>
      <c r="P75" s="1">
        <f>IF(players[[#This Row],[Matches]]&gt;0,players[[#This Row],[Total Goal Involvement]]/players[[#This Row],[Matches]],0)</f>
        <v>0</v>
      </c>
      <c r="Q75" s="3">
        <f>players[[#This Row],[Total Goal Involvement per match]]/players[[#This Row],[Markey Value In Millions(£)]]</f>
        <v>0</v>
      </c>
      <c r="R75">
        <v>4</v>
      </c>
      <c r="S75">
        <v>0</v>
      </c>
      <c r="T75">
        <v>0</v>
      </c>
      <c r="U75">
        <v>0</v>
      </c>
      <c r="V75">
        <v>5</v>
      </c>
    </row>
    <row r="76" spans="1:22" x14ac:dyDescent="0.25">
      <c r="A76">
        <v>74</v>
      </c>
      <c r="B76" t="s">
        <v>149</v>
      </c>
      <c r="C76" t="s">
        <v>99</v>
      </c>
      <c r="D76" t="str" cm="1">
        <f t="array" ref="D7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76">
        <v>29</v>
      </c>
      <c r="F7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76" s="2">
        <v>49.5</v>
      </c>
      <c r="H7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6" t="s">
        <v>50</v>
      </c>
      <c r="J76" t="s">
        <v>45</v>
      </c>
      <c r="K76">
        <v>14</v>
      </c>
      <c r="L76">
        <v>0</v>
      </c>
      <c r="M76">
        <v>0</v>
      </c>
      <c r="N76">
        <v>0</v>
      </c>
      <c r="O76">
        <f>players[[#This Row],[Goals]]+players[[#This Row],[Assists]]</f>
        <v>0</v>
      </c>
      <c r="P76" s="1">
        <f>IF(players[[#This Row],[Matches]]&gt;0,players[[#This Row],[Total Goal Involvement]]/players[[#This Row],[Matches]],0)</f>
        <v>0</v>
      </c>
      <c r="Q76" s="3">
        <f>players[[#This Row],[Total Goal Involvement per match]]/players[[#This Row],[Markey Value In Millions(£)]]</f>
        <v>0</v>
      </c>
      <c r="R76">
        <v>1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>
        <v>75</v>
      </c>
      <c r="B77" t="s">
        <v>150</v>
      </c>
      <c r="C77" t="s">
        <v>71</v>
      </c>
      <c r="D77" t="str" cm="1">
        <f t="array" ref="D7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77">
        <v>29</v>
      </c>
      <c r="F7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77" s="2">
        <v>49.5</v>
      </c>
      <c r="H7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7" t="s">
        <v>151</v>
      </c>
      <c r="J77" t="s">
        <v>102</v>
      </c>
      <c r="K77">
        <v>15</v>
      </c>
      <c r="L77">
        <v>1</v>
      </c>
      <c r="M77">
        <v>0</v>
      </c>
      <c r="N77">
        <v>3</v>
      </c>
      <c r="O77">
        <f>players[[#This Row],[Goals]]+players[[#This Row],[Assists]]</f>
        <v>4</v>
      </c>
      <c r="P77" s="1">
        <f>IF(players[[#This Row],[Matches]]&gt;0,players[[#This Row],[Total Goal Involvement]]/players[[#This Row],[Matches]],0)</f>
        <v>0.26666666666666666</v>
      </c>
      <c r="Q77" s="3">
        <f>players[[#This Row],[Total Goal Involvement per match]]/players[[#This Row],[Markey Value In Millions(£)]]</f>
        <v>5.3872053872053875E-3</v>
      </c>
      <c r="R77">
        <v>1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>
        <v>76</v>
      </c>
      <c r="B78" t="s">
        <v>152</v>
      </c>
      <c r="C78" t="s">
        <v>37</v>
      </c>
      <c r="D78" t="str" cm="1">
        <f t="array" ref="D7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78">
        <v>18</v>
      </c>
      <c r="F78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78" s="2">
        <v>45</v>
      </c>
      <c r="H7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8" t="s">
        <v>50</v>
      </c>
      <c r="J78" t="s">
        <v>51</v>
      </c>
      <c r="K78">
        <v>16</v>
      </c>
      <c r="L78">
        <v>4</v>
      </c>
      <c r="M78">
        <v>0</v>
      </c>
      <c r="N78">
        <v>4</v>
      </c>
      <c r="O78">
        <f>players[[#This Row],[Goals]]+players[[#This Row],[Assists]]</f>
        <v>8</v>
      </c>
      <c r="P78" s="1">
        <f>IF(players[[#This Row],[Matches]]&gt;0,players[[#This Row],[Total Goal Involvement]]/players[[#This Row],[Matches]],0)</f>
        <v>0.5</v>
      </c>
      <c r="Q78" s="3">
        <f>players[[#This Row],[Total Goal Involvement per match]]/players[[#This Row],[Markey Value In Millions(£)]]</f>
        <v>1.1111111111111112E-2</v>
      </c>
      <c r="R78">
        <v>0</v>
      </c>
      <c r="S78">
        <v>0</v>
      </c>
      <c r="T78">
        <v>0</v>
      </c>
      <c r="U78">
        <v>12</v>
      </c>
      <c r="V78">
        <v>4</v>
      </c>
    </row>
    <row r="79" spans="1:22" x14ac:dyDescent="0.25">
      <c r="A79">
        <v>77</v>
      </c>
      <c r="B79" t="s">
        <v>153</v>
      </c>
      <c r="C79" t="s">
        <v>30</v>
      </c>
      <c r="D79" t="str" cm="1">
        <f t="array" ref="D7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79">
        <v>20</v>
      </c>
      <c r="F79" t="str">
        <f>IF(players[[#This Row],[Age]]&gt;34,"Veterans",IF(players[[#This Row],[Age]]&gt;29,"Experienced",IF(players[[#This Row],[Age]]&gt;23,"Career peak",IF(players[[#This Row],[Age]]&gt;19,"Young","Teenagers"))))</f>
        <v>Young</v>
      </c>
      <c r="G79" s="2">
        <v>45</v>
      </c>
      <c r="H7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79" t="s">
        <v>24</v>
      </c>
      <c r="J79" t="s">
        <v>41</v>
      </c>
      <c r="K79">
        <v>14</v>
      </c>
      <c r="L79">
        <v>4</v>
      </c>
      <c r="M79">
        <v>0</v>
      </c>
      <c r="N79">
        <v>1</v>
      </c>
      <c r="O79">
        <f>players[[#This Row],[Goals]]+players[[#This Row],[Assists]]</f>
        <v>5</v>
      </c>
      <c r="P79" s="1">
        <f>IF(players[[#This Row],[Matches]]&gt;0,players[[#This Row],[Total Goal Involvement]]/players[[#This Row],[Matches]],0)</f>
        <v>0.35714285714285715</v>
      </c>
      <c r="Q79" s="3">
        <f>players[[#This Row],[Total Goal Involvement per match]]/players[[#This Row],[Markey Value In Millions(£)]]</f>
        <v>7.9365079365079361E-3</v>
      </c>
      <c r="R79">
        <v>2</v>
      </c>
      <c r="S79">
        <v>0</v>
      </c>
      <c r="T79">
        <v>0</v>
      </c>
      <c r="U79">
        <v>2</v>
      </c>
      <c r="V79">
        <v>8</v>
      </c>
    </row>
    <row r="80" spans="1:22" x14ac:dyDescent="0.25">
      <c r="A80">
        <v>78</v>
      </c>
      <c r="B80" t="s">
        <v>154</v>
      </c>
      <c r="C80" t="s">
        <v>71</v>
      </c>
      <c r="D80" t="str" cm="1">
        <f t="array" ref="D8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80">
        <v>24</v>
      </c>
      <c r="F8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80" s="2">
        <v>45</v>
      </c>
      <c r="H8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0" t="s">
        <v>59</v>
      </c>
      <c r="J80" t="s">
        <v>155</v>
      </c>
      <c r="K80">
        <v>15</v>
      </c>
      <c r="L80">
        <v>1</v>
      </c>
      <c r="M80">
        <v>0</v>
      </c>
      <c r="N80">
        <v>0</v>
      </c>
      <c r="O80">
        <f>players[[#This Row],[Goals]]+players[[#This Row],[Assists]]</f>
        <v>1</v>
      </c>
      <c r="P80" s="1">
        <f>IF(players[[#This Row],[Matches]]&gt;0,players[[#This Row],[Total Goal Involvement]]/players[[#This Row],[Matches]],0)</f>
        <v>6.6666666666666666E-2</v>
      </c>
      <c r="Q80" s="3">
        <f>players[[#This Row],[Total Goal Involvement per match]]/players[[#This Row],[Markey Value In Millions(£)]]</f>
        <v>1.4814814814814814E-3</v>
      </c>
      <c r="R80">
        <v>1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>
        <v>79</v>
      </c>
      <c r="B81" t="s">
        <v>156</v>
      </c>
      <c r="C81" t="s">
        <v>30</v>
      </c>
      <c r="D81" t="str" cm="1">
        <f t="array" ref="D8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81">
        <v>21</v>
      </c>
      <c r="F81" t="str">
        <f>IF(players[[#This Row],[Age]]&gt;34,"Veterans",IF(players[[#This Row],[Age]]&gt;29,"Experienced",IF(players[[#This Row],[Age]]&gt;23,"Career peak",IF(players[[#This Row],[Age]]&gt;19,"Young","Teenagers"))))</f>
        <v>Young</v>
      </c>
      <c r="G81" s="2">
        <v>45</v>
      </c>
      <c r="H8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1" t="s">
        <v>59</v>
      </c>
      <c r="J81" t="s">
        <v>28</v>
      </c>
      <c r="K81">
        <v>7</v>
      </c>
      <c r="L81">
        <v>3</v>
      </c>
      <c r="M81">
        <v>0</v>
      </c>
      <c r="N81">
        <v>1</v>
      </c>
      <c r="O81">
        <f>players[[#This Row],[Goals]]+players[[#This Row],[Assists]]</f>
        <v>4</v>
      </c>
      <c r="P81" s="1">
        <f>IF(players[[#This Row],[Matches]]&gt;0,players[[#This Row],[Total Goal Involvement]]/players[[#This Row],[Matches]],0)</f>
        <v>0.5714285714285714</v>
      </c>
      <c r="Q81" s="3">
        <f>players[[#This Row],[Total Goal Involvement per match]]/players[[#This Row],[Markey Value In Millions(£)]]</f>
        <v>1.2698412698412698E-2</v>
      </c>
      <c r="R81">
        <v>0</v>
      </c>
      <c r="S81">
        <v>0</v>
      </c>
      <c r="T81">
        <v>0</v>
      </c>
      <c r="U81">
        <v>0</v>
      </c>
      <c r="V81">
        <v>5</v>
      </c>
    </row>
    <row r="82" spans="1:22" x14ac:dyDescent="0.25">
      <c r="A82">
        <v>80</v>
      </c>
      <c r="B82" t="s">
        <v>157</v>
      </c>
      <c r="C82" t="s">
        <v>27</v>
      </c>
      <c r="D82" t="str" cm="1">
        <f t="array" ref="D8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82">
        <v>21</v>
      </c>
      <c r="F82" t="str">
        <f>IF(players[[#This Row],[Age]]&gt;34,"Veterans",IF(players[[#This Row],[Age]]&gt;29,"Experienced",IF(players[[#This Row],[Age]]&gt;23,"Career peak",IF(players[[#This Row],[Age]]&gt;19,"Young","Teenagers"))))</f>
        <v>Young</v>
      </c>
      <c r="G82" s="2">
        <v>45</v>
      </c>
      <c r="H8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2" t="s">
        <v>39</v>
      </c>
      <c r="J82" t="s">
        <v>102</v>
      </c>
      <c r="K82">
        <v>16</v>
      </c>
      <c r="L82">
        <v>9</v>
      </c>
      <c r="M82">
        <v>0</v>
      </c>
      <c r="N82">
        <v>7</v>
      </c>
      <c r="O82">
        <f>players[[#This Row],[Goals]]+players[[#This Row],[Assists]]</f>
        <v>16</v>
      </c>
      <c r="P82" s="1">
        <f>IF(players[[#This Row],[Matches]]&gt;0,players[[#This Row],[Total Goal Involvement]]/players[[#This Row],[Matches]],0)</f>
        <v>1</v>
      </c>
      <c r="Q82" s="3">
        <f>players[[#This Row],[Total Goal Involvement per match]]/players[[#This Row],[Markey Value In Millions(£)]]</f>
        <v>2.2222222222222223E-2</v>
      </c>
      <c r="R82">
        <v>3</v>
      </c>
      <c r="S82">
        <v>0</v>
      </c>
      <c r="T82">
        <v>0</v>
      </c>
      <c r="U82">
        <v>2</v>
      </c>
      <c r="V82">
        <v>6</v>
      </c>
    </row>
    <row r="83" spans="1:22" x14ac:dyDescent="0.25">
      <c r="A83">
        <v>81</v>
      </c>
      <c r="B83" t="s">
        <v>158</v>
      </c>
      <c r="C83" t="s">
        <v>17</v>
      </c>
      <c r="D83" t="str" cm="1">
        <f t="array" ref="D8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83">
        <v>21</v>
      </c>
      <c r="F83" t="str">
        <f>IF(players[[#This Row],[Age]]&gt;34,"Veterans",IF(players[[#This Row],[Age]]&gt;29,"Experienced",IF(players[[#This Row],[Age]]&gt;23,"Career peak",IF(players[[#This Row],[Age]]&gt;19,"Young","Teenagers"))))</f>
        <v>Young</v>
      </c>
      <c r="G83" s="2">
        <v>45</v>
      </c>
      <c r="H8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3" t="s">
        <v>92</v>
      </c>
      <c r="J83" t="s">
        <v>159</v>
      </c>
      <c r="K83">
        <v>15</v>
      </c>
      <c r="L83">
        <v>12</v>
      </c>
      <c r="M83">
        <v>0</v>
      </c>
      <c r="N83">
        <v>3</v>
      </c>
      <c r="O83">
        <f>players[[#This Row],[Goals]]+players[[#This Row],[Assists]]</f>
        <v>15</v>
      </c>
      <c r="P83" s="1">
        <f>IF(players[[#This Row],[Matches]]&gt;0,players[[#This Row],[Total Goal Involvement]]/players[[#This Row],[Matches]],0)</f>
        <v>1</v>
      </c>
      <c r="Q83" s="3">
        <f>players[[#This Row],[Total Goal Involvement per match]]/players[[#This Row],[Markey Value In Millions(£)]]</f>
        <v>2.2222222222222223E-2</v>
      </c>
      <c r="R83">
        <v>2</v>
      </c>
      <c r="S83">
        <v>0</v>
      </c>
      <c r="T83">
        <v>0</v>
      </c>
      <c r="U83">
        <v>1</v>
      </c>
      <c r="V83">
        <v>1</v>
      </c>
    </row>
    <row r="84" spans="1:22" x14ac:dyDescent="0.25">
      <c r="A84">
        <v>82</v>
      </c>
      <c r="B84" t="s">
        <v>160</v>
      </c>
      <c r="C84" t="s">
        <v>77</v>
      </c>
      <c r="D84" t="str" cm="1">
        <f t="array" ref="D8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84">
        <v>24</v>
      </c>
      <c r="F8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84" s="2">
        <v>45</v>
      </c>
      <c r="H8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4" t="s">
        <v>18</v>
      </c>
      <c r="J84" t="s">
        <v>141</v>
      </c>
      <c r="K84">
        <v>12</v>
      </c>
      <c r="L84">
        <v>1</v>
      </c>
      <c r="M84">
        <v>0</v>
      </c>
      <c r="N84">
        <v>3</v>
      </c>
      <c r="O84">
        <f>players[[#This Row],[Goals]]+players[[#This Row],[Assists]]</f>
        <v>4</v>
      </c>
      <c r="P84" s="1">
        <f>IF(players[[#This Row],[Matches]]&gt;0,players[[#This Row],[Total Goal Involvement]]/players[[#This Row],[Matches]],0)</f>
        <v>0.33333333333333331</v>
      </c>
      <c r="Q84" s="3">
        <f>players[[#This Row],[Total Goal Involvement per match]]/players[[#This Row],[Markey Value In Millions(£)]]</f>
        <v>7.4074074074074068E-3</v>
      </c>
      <c r="R84">
        <v>2</v>
      </c>
      <c r="S84">
        <v>1</v>
      </c>
      <c r="T84">
        <v>0</v>
      </c>
      <c r="U84">
        <v>2</v>
      </c>
      <c r="V84">
        <v>1</v>
      </c>
    </row>
    <row r="85" spans="1:22" x14ac:dyDescent="0.25">
      <c r="A85">
        <v>83</v>
      </c>
      <c r="B85" t="s">
        <v>161</v>
      </c>
      <c r="C85" t="s">
        <v>30</v>
      </c>
      <c r="D85" t="str" cm="1">
        <f t="array" ref="D8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85">
        <v>23</v>
      </c>
      <c r="F85" t="str">
        <f>IF(players[[#This Row],[Age]]&gt;34,"Veterans",IF(players[[#This Row],[Age]]&gt;29,"Experienced",IF(players[[#This Row],[Age]]&gt;23,"Career peak",IF(players[[#This Row],[Age]]&gt;19,"Young","Teenagers"))))</f>
        <v>Young</v>
      </c>
      <c r="G85" s="2">
        <v>45</v>
      </c>
      <c r="H8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5" t="s">
        <v>162</v>
      </c>
      <c r="J85" t="s">
        <v>35</v>
      </c>
      <c r="K85">
        <v>4</v>
      </c>
      <c r="L85">
        <v>1</v>
      </c>
      <c r="M85">
        <v>0</v>
      </c>
      <c r="N85">
        <v>0</v>
      </c>
      <c r="O85">
        <f>players[[#This Row],[Goals]]+players[[#This Row],[Assists]]</f>
        <v>1</v>
      </c>
      <c r="P85" s="1">
        <f>IF(players[[#This Row],[Matches]]&gt;0,players[[#This Row],[Total Goal Involvement]]/players[[#This Row],[Matches]],0)</f>
        <v>0.25</v>
      </c>
      <c r="Q85" s="3">
        <f>players[[#This Row],[Total Goal Involvement per match]]/players[[#This Row],[Markey Value In Millions(£)]]</f>
        <v>5.5555555555555558E-3</v>
      </c>
      <c r="R85">
        <v>0</v>
      </c>
      <c r="S85">
        <v>0</v>
      </c>
      <c r="T85">
        <v>0</v>
      </c>
      <c r="U85">
        <v>3</v>
      </c>
      <c r="V85">
        <v>1</v>
      </c>
    </row>
    <row r="86" spans="1:22" x14ac:dyDescent="0.25">
      <c r="A86">
        <v>84</v>
      </c>
      <c r="B86" t="s">
        <v>163</v>
      </c>
      <c r="C86" t="s">
        <v>37</v>
      </c>
      <c r="D86" t="str" cm="1">
        <f t="array" ref="D8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86">
        <v>24</v>
      </c>
      <c r="F8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86" s="2">
        <v>45</v>
      </c>
      <c r="H8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6" t="s">
        <v>24</v>
      </c>
      <c r="J86" t="s">
        <v>124</v>
      </c>
      <c r="K86">
        <v>16</v>
      </c>
      <c r="L86">
        <v>1</v>
      </c>
      <c r="M86">
        <v>0</v>
      </c>
      <c r="N86">
        <v>1</v>
      </c>
      <c r="O86">
        <f>players[[#This Row],[Goals]]+players[[#This Row],[Assists]]</f>
        <v>2</v>
      </c>
      <c r="P86" s="1">
        <f>IF(players[[#This Row],[Matches]]&gt;0,players[[#This Row],[Total Goal Involvement]]/players[[#This Row],[Matches]],0)</f>
        <v>0.125</v>
      </c>
      <c r="Q86" s="3">
        <f>players[[#This Row],[Total Goal Involvement per match]]/players[[#This Row],[Markey Value In Millions(£)]]</f>
        <v>2.7777777777777779E-3</v>
      </c>
      <c r="R86">
        <v>1</v>
      </c>
      <c r="S86">
        <v>0</v>
      </c>
      <c r="T86">
        <v>0</v>
      </c>
      <c r="U86">
        <v>6</v>
      </c>
      <c r="V86">
        <v>9</v>
      </c>
    </row>
    <row r="87" spans="1:22" x14ac:dyDescent="0.25">
      <c r="A87">
        <v>85</v>
      </c>
      <c r="B87" t="s">
        <v>164</v>
      </c>
      <c r="C87" t="s">
        <v>37</v>
      </c>
      <c r="D87" t="str" cm="1">
        <f t="array" ref="D8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87">
        <v>23</v>
      </c>
      <c r="F87" t="str">
        <f>IF(players[[#This Row],[Age]]&gt;34,"Veterans",IF(players[[#This Row],[Age]]&gt;29,"Experienced",IF(players[[#This Row],[Age]]&gt;23,"Career peak",IF(players[[#This Row],[Age]]&gt;19,"Young","Teenagers"))))</f>
        <v>Young</v>
      </c>
      <c r="G87" s="2">
        <v>45</v>
      </c>
      <c r="H8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7" t="s">
        <v>59</v>
      </c>
      <c r="J87" t="s">
        <v>165</v>
      </c>
      <c r="K87">
        <v>7</v>
      </c>
      <c r="L87">
        <v>0</v>
      </c>
      <c r="M87">
        <v>0</v>
      </c>
      <c r="N87">
        <v>1</v>
      </c>
      <c r="O87">
        <f>players[[#This Row],[Goals]]+players[[#This Row],[Assists]]</f>
        <v>1</v>
      </c>
      <c r="P87" s="1">
        <f>IF(players[[#This Row],[Matches]]&gt;0,players[[#This Row],[Total Goal Involvement]]/players[[#This Row],[Matches]],0)</f>
        <v>0.14285714285714285</v>
      </c>
      <c r="Q87" s="3">
        <f>players[[#This Row],[Total Goal Involvement per match]]/players[[#This Row],[Markey Value In Millions(£)]]</f>
        <v>3.1746031746031746E-3</v>
      </c>
      <c r="R87">
        <v>0</v>
      </c>
      <c r="S87">
        <v>0</v>
      </c>
      <c r="T87">
        <v>0</v>
      </c>
      <c r="U87">
        <v>3</v>
      </c>
      <c r="V87">
        <v>4</v>
      </c>
    </row>
    <row r="88" spans="1:22" x14ac:dyDescent="0.25">
      <c r="A88">
        <v>86</v>
      </c>
      <c r="B88" t="s">
        <v>166</v>
      </c>
      <c r="C88" t="s">
        <v>77</v>
      </c>
      <c r="D88" t="str" cm="1">
        <f t="array" ref="D8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88">
        <v>26</v>
      </c>
      <c r="F8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88" s="2">
        <v>45</v>
      </c>
      <c r="H8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8" t="s">
        <v>18</v>
      </c>
      <c r="J88" t="s">
        <v>102</v>
      </c>
      <c r="K88">
        <v>6</v>
      </c>
      <c r="L88">
        <v>0</v>
      </c>
      <c r="M88">
        <v>0</v>
      </c>
      <c r="N88">
        <v>0</v>
      </c>
      <c r="O88">
        <f>players[[#This Row],[Goals]]+players[[#This Row],[Assists]]</f>
        <v>0</v>
      </c>
      <c r="P88" s="1">
        <f>IF(players[[#This Row],[Matches]]&gt;0,players[[#This Row],[Total Goal Involvement]]/players[[#This Row],[Matches]],0)</f>
        <v>0</v>
      </c>
      <c r="Q88" s="3">
        <f>players[[#This Row],[Total Goal Involvement per match]]/players[[#This Row],[Markey Value In Millions(£)]]</f>
        <v>0</v>
      </c>
      <c r="R88">
        <v>2</v>
      </c>
      <c r="S88">
        <v>0</v>
      </c>
      <c r="T88">
        <v>0</v>
      </c>
      <c r="U88">
        <v>1</v>
      </c>
      <c r="V88">
        <v>2</v>
      </c>
    </row>
    <row r="89" spans="1:22" x14ac:dyDescent="0.25">
      <c r="A89">
        <v>87</v>
      </c>
      <c r="B89" t="s">
        <v>167</v>
      </c>
      <c r="C89" t="s">
        <v>30</v>
      </c>
      <c r="D89" t="str" cm="1">
        <f t="array" ref="D8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89">
        <v>24</v>
      </c>
      <c r="F8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89" s="2">
        <v>45</v>
      </c>
      <c r="H8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89" t="s">
        <v>18</v>
      </c>
      <c r="J89" t="s">
        <v>45</v>
      </c>
      <c r="K89">
        <v>1</v>
      </c>
      <c r="L89">
        <v>0</v>
      </c>
      <c r="M89">
        <v>0</v>
      </c>
      <c r="N89">
        <v>0</v>
      </c>
      <c r="O89">
        <f>players[[#This Row],[Goals]]+players[[#This Row],[Assists]]</f>
        <v>0</v>
      </c>
      <c r="P89" s="1">
        <f>IF(players[[#This Row],[Matches]]&gt;0,players[[#This Row],[Total Goal Involvement]]/players[[#This Row],[Matches]],0)</f>
        <v>0</v>
      </c>
      <c r="Q89" s="3">
        <f>players[[#This Row],[Total Goal Involvement per match]]/players[[#This Row],[Markey Value In Millions(£)]]</f>
        <v>0</v>
      </c>
      <c r="R89">
        <v>0</v>
      </c>
      <c r="S89">
        <v>0</v>
      </c>
      <c r="T89">
        <v>0</v>
      </c>
      <c r="U89">
        <v>1</v>
      </c>
      <c r="V89">
        <v>0</v>
      </c>
    </row>
    <row r="90" spans="1:22" x14ac:dyDescent="0.25">
      <c r="A90">
        <v>88</v>
      </c>
      <c r="B90" t="s">
        <v>168</v>
      </c>
      <c r="C90" t="s">
        <v>99</v>
      </c>
      <c r="D90" t="str" cm="1">
        <f t="array" ref="D9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90">
        <v>28</v>
      </c>
      <c r="F9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90" s="2">
        <v>45</v>
      </c>
      <c r="H9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0" t="s">
        <v>39</v>
      </c>
      <c r="J90" t="s">
        <v>28</v>
      </c>
      <c r="K90">
        <v>14</v>
      </c>
      <c r="L90">
        <v>0</v>
      </c>
      <c r="M90">
        <v>0</v>
      </c>
      <c r="N90">
        <v>0</v>
      </c>
      <c r="O90">
        <f>players[[#This Row],[Goals]]+players[[#This Row],[Assists]]</f>
        <v>0</v>
      </c>
      <c r="P90" s="1">
        <f>IF(players[[#This Row],[Matches]]&gt;0,players[[#This Row],[Total Goal Involvement]]/players[[#This Row],[Matches]],0)</f>
        <v>0</v>
      </c>
      <c r="Q90" s="3">
        <f>players[[#This Row],[Total Goal Involvement per match]]/players[[#This Row],[Markey Value In Millions(£)]]</f>
        <v>0</v>
      </c>
      <c r="R90">
        <v>2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>
        <v>89</v>
      </c>
      <c r="B91" t="s">
        <v>169</v>
      </c>
      <c r="C91" t="s">
        <v>75</v>
      </c>
      <c r="D91" t="str" cm="1">
        <f t="array" ref="D9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91">
        <v>28</v>
      </c>
      <c r="F9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91" s="2">
        <v>45</v>
      </c>
      <c r="H9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1" t="s">
        <v>62</v>
      </c>
      <c r="J91" t="s">
        <v>88</v>
      </c>
      <c r="K91">
        <v>11</v>
      </c>
      <c r="L91">
        <v>6</v>
      </c>
      <c r="M91">
        <v>0</v>
      </c>
      <c r="N91">
        <v>4</v>
      </c>
      <c r="O91">
        <f>players[[#This Row],[Goals]]+players[[#This Row],[Assists]]</f>
        <v>10</v>
      </c>
      <c r="P91" s="1">
        <f>IF(players[[#This Row],[Matches]]&gt;0,players[[#This Row],[Total Goal Involvement]]/players[[#This Row],[Matches]],0)</f>
        <v>0.90909090909090906</v>
      </c>
      <c r="Q91" s="3">
        <f>players[[#This Row],[Total Goal Involvement per match]]/players[[#This Row],[Markey Value In Millions(£)]]</f>
        <v>2.02020202020202E-2</v>
      </c>
      <c r="R91">
        <v>1</v>
      </c>
      <c r="S91">
        <v>0</v>
      </c>
      <c r="T91">
        <v>0</v>
      </c>
      <c r="U91">
        <v>1</v>
      </c>
      <c r="V91">
        <v>5</v>
      </c>
    </row>
    <row r="92" spans="1:22" x14ac:dyDescent="0.25">
      <c r="A92">
        <v>90</v>
      </c>
      <c r="B92" t="s">
        <v>170</v>
      </c>
      <c r="C92" t="s">
        <v>37</v>
      </c>
      <c r="D92" t="str" cm="1">
        <f t="array" ref="D9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92">
        <v>27</v>
      </c>
      <c r="F9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92" s="2">
        <v>45</v>
      </c>
      <c r="H9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2" t="s">
        <v>135</v>
      </c>
      <c r="J92" t="s">
        <v>119</v>
      </c>
      <c r="K92">
        <v>14</v>
      </c>
      <c r="L92">
        <v>3</v>
      </c>
      <c r="M92">
        <v>0</v>
      </c>
      <c r="N92">
        <v>2</v>
      </c>
      <c r="O92">
        <f>players[[#This Row],[Goals]]+players[[#This Row],[Assists]]</f>
        <v>5</v>
      </c>
      <c r="P92" s="1">
        <f>IF(players[[#This Row],[Matches]]&gt;0,players[[#This Row],[Total Goal Involvement]]/players[[#This Row],[Matches]],0)</f>
        <v>0.35714285714285715</v>
      </c>
      <c r="Q92" s="3">
        <f>players[[#This Row],[Total Goal Involvement per match]]/players[[#This Row],[Markey Value In Millions(£)]]</f>
        <v>7.9365079365079361E-3</v>
      </c>
      <c r="R92">
        <v>0</v>
      </c>
      <c r="S92">
        <v>0</v>
      </c>
      <c r="T92">
        <v>0</v>
      </c>
      <c r="U92">
        <v>3</v>
      </c>
      <c r="V92">
        <v>11</v>
      </c>
    </row>
    <row r="93" spans="1:22" x14ac:dyDescent="0.25">
      <c r="A93">
        <v>91</v>
      </c>
      <c r="B93" t="s">
        <v>171</v>
      </c>
      <c r="C93" t="s">
        <v>71</v>
      </c>
      <c r="D93" t="str" cm="1">
        <f t="array" ref="D9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93">
        <v>28</v>
      </c>
      <c r="F9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93" s="2">
        <v>45</v>
      </c>
      <c r="H9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3" t="s">
        <v>24</v>
      </c>
      <c r="J93" t="s">
        <v>41</v>
      </c>
      <c r="K93">
        <v>13</v>
      </c>
      <c r="L93">
        <v>1</v>
      </c>
      <c r="M93">
        <v>0</v>
      </c>
      <c r="N93">
        <v>0</v>
      </c>
      <c r="O93">
        <f>players[[#This Row],[Goals]]+players[[#This Row],[Assists]]</f>
        <v>1</v>
      </c>
      <c r="P93" s="1">
        <f>IF(players[[#This Row],[Matches]]&gt;0,players[[#This Row],[Total Goal Involvement]]/players[[#This Row],[Matches]],0)</f>
        <v>7.6923076923076927E-2</v>
      </c>
      <c r="Q93" s="3">
        <f>players[[#This Row],[Total Goal Involvement per match]]/players[[#This Row],[Markey Value In Millions(£)]]</f>
        <v>1.7094017094017094E-3</v>
      </c>
      <c r="R93">
        <v>3</v>
      </c>
      <c r="S93">
        <v>0</v>
      </c>
      <c r="T93">
        <v>0</v>
      </c>
      <c r="U93">
        <v>0</v>
      </c>
      <c r="V93">
        <v>1</v>
      </c>
    </row>
    <row r="94" spans="1:22" x14ac:dyDescent="0.25">
      <c r="A94">
        <v>92</v>
      </c>
      <c r="B94" t="s">
        <v>172</v>
      </c>
      <c r="C94" t="s">
        <v>75</v>
      </c>
      <c r="D94" t="str" cm="1">
        <f t="array" ref="D9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94">
        <v>30</v>
      </c>
      <c r="F94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94" s="2">
        <v>45</v>
      </c>
      <c r="H9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4" t="s">
        <v>18</v>
      </c>
      <c r="J94" t="s">
        <v>65</v>
      </c>
      <c r="K94">
        <v>15</v>
      </c>
      <c r="L94">
        <v>5</v>
      </c>
      <c r="M94">
        <v>0</v>
      </c>
      <c r="N94">
        <v>1</v>
      </c>
      <c r="O94">
        <f>players[[#This Row],[Goals]]+players[[#This Row],[Assists]]</f>
        <v>6</v>
      </c>
      <c r="P94" s="1">
        <f>IF(players[[#This Row],[Matches]]&gt;0,players[[#This Row],[Total Goal Involvement]]/players[[#This Row],[Matches]],0)</f>
        <v>0.4</v>
      </c>
      <c r="Q94" s="3">
        <f>players[[#This Row],[Total Goal Involvement per match]]/players[[#This Row],[Markey Value In Millions(£)]]</f>
        <v>8.8888888888888889E-3</v>
      </c>
      <c r="R94">
        <v>1</v>
      </c>
      <c r="S94">
        <v>0</v>
      </c>
      <c r="T94">
        <v>1</v>
      </c>
      <c r="U94">
        <v>3</v>
      </c>
      <c r="V94">
        <v>6</v>
      </c>
    </row>
    <row r="95" spans="1:22" x14ac:dyDescent="0.25">
      <c r="A95">
        <v>93</v>
      </c>
      <c r="B95" t="s">
        <v>173</v>
      </c>
      <c r="C95" t="s">
        <v>71</v>
      </c>
      <c r="D95" t="str" cm="1">
        <f t="array" ref="D9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95">
        <v>29</v>
      </c>
      <c r="F9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95" s="2">
        <v>45</v>
      </c>
      <c r="H9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5" t="s">
        <v>44</v>
      </c>
      <c r="J95" t="s">
        <v>63</v>
      </c>
      <c r="K95">
        <v>15</v>
      </c>
      <c r="L95">
        <v>1</v>
      </c>
      <c r="M95">
        <v>1</v>
      </c>
      <c r="N95">
        <v>0</v>
      </c>
      <c r="O95">
        <f>players[[#This Row],[Goals]]+players[[#This Row],[Assists]]</f>
        <v>1</v>
      </c>
      <c r="P95" s="1">
        <f>IF(players[[#This Row],[Matches]]&gt;0,players[[#This Row],[Total Goal Involvement]]/players[[#This Row],[Matches]],0)</f>
        <v>6.6666666666666666E-2</v>
      </c>
      <c r="Q95" s="3">
        <f>players[[#This Row],[Total Goal Involvement per match]]/players[[#This Row],[Markey Value In Millions(£)]]</f>
        <v>1.4814814814814814E-3</v>
      </c>
      <c r="R95">
        <v>1</v>
      </c>
      <c r="S95">
        <v>0</v>
      </c>
      <c r="T95">
        <v>0</v>
      </c>
      <c r="U95">
        <v>0</v>
      </c>
      <c r="V95">
        <v>3</v>
      </c>
    </row>
    <row r="96" spans="1:22" x14ac:dyDescent="0.25">
      <c r="A96">
        <v>94</v>
      </c>
      <c r="B96" t="s">
        <v>174</v>
      </c>
      <c r="C96" t="s">
        <v>27</v>
      </c>
      <c r="D96" t="str" cm="1">
        <f t="array" ref="D9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96">
        <v>30</v>
      </c>
      <c r="F96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96" s="2">
        <v>43.2</v>
      </c>
      <c r="H9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6" t="s">
        <v>87</v>
      </c>
      <c r="J96" t="s">
        <v>119</v>
      </c>
      <c r="K96">
        <v>14</v>
      </c>
      <c r="L96">
        <v>5</v>
      </c>
      <c r="M96">
        <v>0</v>
      </c>
      <c r="N96">
        <v>4</v>
      </c>
      <c r="O96">
        <f>players[[#This Row],[Goals]]+players[[#This Row],[Assists]]</f>
        <v>9</v>
      </c>
      <c r="P96" s="1">
        <f>IF(players[[#This Row],[Matches]]&gt;0,players[[#This Row],[Total Goal Involvement]]/players[[#This Row],[Matches]],0)</f>
        <v>0.6428571428571429</v>
      </c>
      <c r="Q96" s="3">
        <f>players[[#This Row],[Total Goal Involvement per match]]/players[[#This Row],[Markey Value In Millions(£)]]</f>
        <v>1.4880952380952382E-2</v>
      </c>
      <c r="R96">
        <v>0</v>
      </c>
      <c r="S96">
        <v>0</v>
      </c>
      <c r="T96">
        <v>0</v>
      </c>
      <c r="U96">
        <v>0</v>
      </c>
      <c r="V96">
        <v>13</v>
      </c>
    </row>
    <row r="97" spans="1:22" x14ac:dyDescent="0.25">
      <c r="A97">
        <v>95</v>
      </c>
      <c r="B97" t="s">
        <v>175</v>
      </c>
      <c r="C97" t="s">
        <v>71</v>
      </c>
      <c r="D97" t="str" cm="1">
        <f t="array" ref="D9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97">
        <v>30</v>
      </c>
      <c r="F97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97" s="2">
        <v>43.2</v>
      </c>
      <c r="H9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7" t="s">
        <v>55</v>
      </c>
      <c r="J97" t="s">
        <v>119</v>
      </c>
      <c r="K97">
        <v>15</v>
      </c>
      <c r="L97">
        <v>2</v>
      </c>
      <c r="M97">
        <v>0</v>
      </c>
      <c r="N97">
        <v>1</v>
      </c>
      <c r="O97">
        <f>players[[#This Row],[Goals]]+players[[#This Row],[Assists]]</f>
        <v>3</v>
      </c>
      <c r="P97" s="1">
        <f>IF(players[[#This Row],[Matches]]&gt;0,players[[#This Row],[Total Goal Involvement]]/players[[#This Row],[Matches]],0)</f>
        <v>0.2</v>
      </c>
      <c r="Q97" s="3">
        <f>players[[#This Row],[Total Goal Involvement per match]]/players[[#This Row],[Markey Value In Millions(£)]]</f>
        <v>4.6296296296296294E-3</v>
      </c>
      <c r="R97">
        <v>2</v>
      </c>
      <c r="S97">
        <v>0</v>
      </c>
      <c r="T97">
        <v>1</v>
      </c>
      <c r="U97">
        <v>0</v>
      </c>
      <c r="V97">
        <v>0</v>
      </c>
    </row>
    <row r="98" spans="1:22" x14ac:dyDescent="0.25">
      <c r="A98">
        <v>96</v>
      </c>
      <c r="B98" t="s">
        <v>176</v>
      </c>
      <c r="C98" t="s">
        <v>37</v>
      </c>
      <c r="D98" t="str" cm="1">
        <f t="array" ref="D9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98">
        <v>24</v>
      </c>
      <c r="F9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98" s="2">
        <v>42.3</v>
      </c>
      <c r="H9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8" t="s">
        <v>18</v>
      </c>
      <c r="J98" t="s">
        <v>165</v>
      </c>
      <c r="K98">
        <v>17</v>
      </c>
      <c r="L98">
        <v>11</v>
      </c>
      <c r="M98">
        <v>0</v>
      </c>
      <c r="N98">
        <v>7</v>
      </c>
      <c r="O98">
        <f>players[[#This Row],[Goals]]+players[[#This Row],[Assists]]</f>
        <v>18</v>
      </c>
      <c r="P98" s="1">
        <f>IF(players[[#This Row],[Matches]]&gt;0,players[[#This Row],[Total Goal Involvement]]/players[[#This Row],[Matches]],0)</f>
        <v>1.0588235294117647</v>
      </c>
      <c r="Q98" s="3">
        <f>players[[#This Row],[Total Goal Involvement per match]]/players[[#This Row],[Markey Value In Millions(£)]]</f>
        <v>2.503128911138924E-2</v>
      </c>
      <c r="R98">
        <v>0</v>
      </c>
      <c r="S98">
        <v>0</v>
      </c>
      <c r="T98">
        <v>0</v>
      </c>
      <c r="U98">
        <v>1</v>
      </c>
      <c r="V98">
        <v>7</v>
      </c>
    </row>
    <row r="99" spans="1:22" x14ac:dyDescent="0.25">
      <c r="A99">
        <v>97</v>
      </c>
      <c r="B99" t="s">
        <v>177</v>
      </c>
      <c r="C99" t="s">
        <v>69</v>
      </c>
      <c r="D99" t="str" cm="1">
        <f t="array" ref="D9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99">
        <v>21</v>
      </c>
      <c r="F99" t="str">
        <f>IF(players[[#This Row],[Age]]&gt;34,"Veterans",IF(players[[#This Row],[Age]]&gt;29,"Experienced",IF(players[[#This Row],[Age]]&gt;23,"Career peak",IF(players[[#This Row],[Age]]&gt;19,"Young","Teenagers"))))</f>
        <v>Young</v>
      </c>
      <c r="G99" s="2">
        <v>40.5</v>
      </c>
      <c r="H9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99" t="s">
        <v>24</v>
      </c>
      <c r="J99" t="s">
        <v>35</v>
      </c>
      <c r="K99">
        <v>12</v>
      </c>
      <c r="L99">
        <v>4</v>
      </c>
      <c r="M99">
        <v>0</v>
      </c>
      <c r="N99">
        <v>4</v>
      </c>
      <c r="O99">
        <f>players[[#This Row],[Goals]]+players[[#This Row],[Assists]]</f>
        <v>8</v>
      </c>
      <c r="P99" s="1">
        <f>IF(players[[#This Row],[Matches]]&gt;0,players[[#This Row],[Total Goal Involvement]]/players[[#This Row],[Matches]],0)</f>
        <v>0.66666666666666663</v>
      </c>
      <c r="Q99" s="3">
        <f>players[[#This Row],[Total Goal Involvement per match]]/players[[#This Row],[Markey Value In Millions(£)]]</f>
        <v>1.6460905349794237E-2</v>
      </c>
      <c r="R99">
        <v>2</v>
      </c>
      <c r="S99">
        <v>0</v>
      </c>
      <c r="T99">
        <v>1</v>
      </c>
      <c r="U99">
        <v>3</v>
      </c>
      <c r="V99">
        <v>1</v>
      </c>
    </row>
    <row r="100" spans="1:22" x14ac:dyDescent="0.25">
      <c r="A100">
        <v>98</v>
      </c>
      <c r="B100" t="s">
        <v>178</v>
      </c>
      <c r="C100" t="s">
        <v>43</v>
      </c>
      <c r="D100" t="str" cm="1">
        <f t="array" ref="D10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00">
        <v>24</v>
      </c>
      <c r="F10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0" s="2">
        <v>40.5</v>
      </c>
      <c r="H10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0" t="s">
        <v>18</v>
      </c>
      <c r="J100" t="s">
        <v>25</v>
      </c>
      <c r="K100">
        <v>11</v>
      </c>
      <c r="L100">
        <v>2</v>
      </c>
      <c r="M100">
        <v>0</v>
      </c>
      <c r="N100">
        <v>0</v>
      </c>
      <c r="O100">
        <f>players[[#This Row],[Goals]]+players[[#This Row],[Assists]]</f>
        <v>2</v>
      </c>
      <c r="P100" s="1">
        <f>IF(players[[#This Row],[Matches]]&gt;0,players[[#This Row],[Total Goal Involvement]]/players[[#This Row],[Matches]],0)</f>
        <v>0.18181818181818182</v>
      </c>
      <c r="Q100" s="3">
        <f>players[[#This Row],[Total Goal Involvement per match]]/players[[#This Row],[Markey Value In Millions(£)]]</f>
        <v>4.4893378226711564E-3</v>
      </c>
      <c r="R100">
        <v>2</v>
      </c>
      <c r="S100">
        <v>0</v>
      </c>
      <c r="T100">
        <v>0</v>
      </c>
      <c r="U100">
        <v>4</v>
      </c>
      <c r="V100">
        <v>5</v>
      </c>
    </row>
    <row r="101" spans="1:22" x14ac:dyDescent="0.25">
      <c r="A101">
        <v>99</v>
      </c>
      <c r="B101" t="s">
        <v>179</v>
      </c>
      <c r="C101" t="s">
        <v>43</v>
      </c>
      <c r="D101" t="str" cm="1">
        <f t="array" ref="D10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01">
        <v>25</v>
      </c>
      <c r="F10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1" s="2">
        <v>40.5</v>
      </c>
      <c r="H10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1" t="s">
        <v>59</v>
      </c>
      <c r="J101" t="s">
        <v>119</v>
      </c>
      <c r="K101">
        <v>15</v>
      </c>
      <c r="L101">
        <v>3</v>
      </c>
      <c r="M101">
        <v>0</v>
      </c>
      <c r="N101">
        <v>3</v>
      </c>
      <c r="O101">
        <f>players[[#This Row],[Goals]]+players[[#This Row],[Assists]]</f>
        <v>6</v>
      </c>
      <c r="P101" s="1">
        <f>IF(players[[#This Row],[Matches]]&gt;0,players[[#This Row],[Total Goal Involvement]]/players[[#This Row],[Matches]],0)</f>
        <v>0.4</v>
      </c>
      <c r="Q101" s="3">
        <f>players[[#This Row],[Total Goal Involvement per match]]/players[[#This Row],[Markey Value In Millions(£)]]</f>
        <v>9.876543209876543E-3</v>
      </c>
      <c r="R101">
        <v>2</v>
      </c>
      <c r="S101">
        <v>0</v>
      </c>
      <c r="T101">
        <v>0</v>
      </c>
      <c r="U101">
        <v>1</v>
      </c>
      <c r="V101">
        <v>4</v>
      </c>
    </row>
    <row r="102" spans="1:22" x14ac:dyDescent="0.25">
      <c r="A102">
        <v>100</v>
      </c>
      <c r="B102" t="s">
        <v>180</v>
      </c>
      <c r="C102" t="s">
        <v>27</v>
      </c>
      <c r="D102" t="str" cm="1">
        <f t="array" ref="D10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02">
        <v>24</v>
      </c>
      <c r="F10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2" s="2">
        <v>40.5</v>
      </c>
      <c r="H10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2" t="s">
        <v>47</v>
      </c>
      <c r="J102" t="s">
        <v>32</v>
      </c>
      <c r="K102">
        <v>15</v>
      </c>
      <c r="L102">
        <v>5</v>
      </c>
      <c r="M102">
        <v>0</v>
      </c>
      <c r="N102">
        <v>3</v>
      </c>
      <c r="O102">
        <f>players[[#This Row],[Goals]]+players[[#This Row],[Assists]]</f>
        <v>8</v>
      </c>
      <c r="P102" s="1">
        <f>IF(players[[#This Row],[Matches]]&gt;0,players[[#This Row],[Total Goal Involvement]]/players[[#This Row],[Matches]],0)</f>
        <v>0.53333333333333333</v>
      </c>
      <c r="Q102" s="3">
        <f>players[[#This Row],[Total Goal Involvement per match]]/players[[#This Row],[Markey Value In Millions(£)]]</f>
        <v>1.3168724279835391E-2</v>
      </c>
      <c r="R102">
        <v>2</v>
      </c>
      <c r="S102">
        <v>0</v>
      </c>
      <c r="T102">
        <v>0</v>
      </c>
      <c r="U102">
        <v>4</v>
      </c>
      <c r="V102">
        <v>8</v>
      </c>
    </row>
    <row r="103" spans="1:22" x14ac:dyDescent="0.25">
      <c r="A103">
        <v>101</v>
      </c>
      <c r="B103" t="s">
        <v>181</v>
      </c>
      <c r="C103" t="s">
        <v>71</v>
      </c>
      <c r="D103" t="str" cm="1">
        <f t="array" ref="D10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03">
        <v>28</v>
      </c>
      <c r="F10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3" s="2">
        <v>40.5</v>
      </c>
      <c r="H10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3" t="s">
        <v>39</v>
      </c>
      <c r="J103" t="s">
        <v>116</v>
      </c>
      <c r="K103">
        <v>16</v>
      </c>
      <c r="L103">
        <v>3</v>
      </c>
      <c r="M103">
        <v>0</v>
      </c>
      <c r="N103">
        <v>0</v>
      </c>
      <c r="O103">
        <f>players[[#This Row],[Goals]]+players[[#This Row],[Assists]]</f>
        <v>3</v>
      </c>
      <c r="P103" s="1">
        <f>IF(players[[#This Row],[Matches]]&gt;0,players[[#This Row],[Total Goal Involvement]]/players[[#This Row],[Matches]],0)</f>
        <v>0.1875</v>
      </c>
      <c r="Q103" s="3">
        <f>players[[#This Row],[Total Goal Involvement per match]]/players[[#This Row],[Markey Value In Millions(£)]]</f>
        <v>4.6296296296296294E-3</v>
      </c>
      <c r="R103">
        <v>3</v>
      </c>
      <c r="S103">
        <v>1</v>
      </c>
      <c r="T103">
        <v>0</v>
      </c>
      <c r="U103">
        <v>0</v>
      </c>
      <c r="V103">
        <v>1</v>
      </c>
    </row>
    <row r="104" spans="1:22" x14ac:dyDescent="0.25">
      <c r="A104">
        <v>102</v>
      </c>
      <c r="B104" t="s">
        <v>182</v>
      </c>
      <c r="C104" t="s">
        <v>71</v>
      </c>
      <c r="D104" t="str" cm="1">
        <f t="array" ref="D10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04">
        <v>25</v>
      </c>
      <c r="F10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4" s="2">
        <v>40.5</v>
      </c>
      <c r="H10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4" t="s">
        <v>183</v>
      </c>
      <c r="J104" t="s">
        <v>124</v>
      </c>
      <c r="K104">
        <v>18</v>
      </c>
      <c r="L104">
        <v>1</v>
      </c>
      <c r="M104">
        <v>0</v>
      </c>
      <c r="N104">
        <v>0</v>
      </c>
      <c r="O104">
        <f>players[[#This Row],[Goals]]+players[[#This Row],[Assists]]</f>
        <v>1</v>
      </c>
      <c r="P104" s="1">
        <f>IF(players[[#This Row],[Matches]]&gt;0,players[[#This Row],[Total Goal Involvement]]/players[[#This Row],[Matches]],0)</f>
        <v>5.5555555555555552E-2</v>
      </c>
      <c r="Q104" s="3">
        <f>players[[#This Row],[Total Goal Involvement per match]]/players[[#This Row],[Markey Value In Millions(£)]]</f>
        <v>1.3717421124828531E-3</v>
      </c>
      <c r="R104">
        <v>3</v>
      </c>
      <c r="S104">
        <v>0</v>
      </c>
      <c r="T104">
        <v>0</v>
      </c>
      <c r="U104">
        <v>1</v>
      </c>
      <c r="V104">
        <v>1</v>
      </c>
    </row>
    <row r="105" spans="1:22" x14ac:dyDescent="0.25">
      <c r="A105">
        <v>103</v>
      </c>
      <c r="B105" t="s">
        <v>184</v>
      </c>
      <c r="C105" t="s">
        <v>30</v>
      </c>
      <c r="D105" t="str" cm="1">
        <f t="array" ref="D10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05">
        <v>26</v>
      </c>
      <c r="F10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5" s="2">
        <v>40.5</v>
      </c>
      <c r="H10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5" t="s">
        <v>185</v>
      </c>
      <c r="J105" t="s">
        <v>119</v>
      </c>
      <c r="K105">
        <v>17</v>
      </c>
      <c r="L105">
        <v>3</v>
      </c>
      <c r="M105">
        <v>0</v>
      </c>
      <c r="N105">
        <v>3</v>
      </c>
      <c r="O105">
        <f>players[[#This Row],[Goals]]+players[[#This Row],[Assists]]</f>
        <v>6</v>
      </c>
      <c r="P105" s="1">
        <f>IF(players[[#This Row],[Matches]]&gt;0,players[[#This Row],[Total Goal Involvement]]/players[[#This Row],[Matches]],0)</f>
        <v>0.35294117647058826</v>
      </c>
      <c r="Q105" s="3">
        <f>players[[#This Row],[Total Goal Involvement per match]]/players[[#This Row],[Markey Value In Millions(£)]]</f>
        <v>8.7145969498910684E-3</v>
      </c>
      <c r="R105">
        <v>1</v>
      </c>
      <c r="S105">
        <v>0</v>
      </c>
      <c r="T105">
        <v>0</v>
      </c>
      <c r="U105">
        <v>8</v>
      </c>
      <c r="V105">
        <v>9</v>
      </c>
    </row>
    <row r="106" spans="1:22" x14ac:dyDescent="0.25">
      <c r="A106">
        <v>104</v>
      </c>
      <c r="B106" t="s">
        <v>186</v>
      </c>
      <c r="C106" t="s">
        <v>17</v>
      </c>
      <c r="D106" t="str" cm="1">
        <f t="array" ref="D10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06">
        <v>24</v>
      </c>
      <c r="F10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6" s="2">
        <v>40.5</v>
      </c>
      <c r="H10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6" t="s">
        <v>24</v>
      </c>
      <c r="J106" t="s">
        <v>138</v>
      </c>
      <c r="K106">
        <v>3</v>
      </c>
      <c r="L106">
        <v>3</v>
      </c>
      <c r="M106">
        <v>0</v>
      </c>
      <c r="N106">
        <v>0</v>
      </c>
      <c r="O106">
        <f>players[[#This Row],[Goals]]+players[[#This Row],[Assists]]</f>
        <v>3</v>
      </c>
      <c r="P106" s="1">
        <f>IF(players[[#This Row],[Matches]]&gt;0,players[[#This Row],[Total Goal Involvement]]/players[[#This Row],[Matches]],0)</f>
        <v>1</v>
      </c>
      <c r="Q106" s="3">
        <f>players[[#This Row],[Total Goal Involvement per match]]/players[[#This Row],[Markey Value In Millions(£)]]</f>
        <v>2.4691358024691357E-2</v>
      </c>
      <c r="R106">
        <v>0</v>
      </c>
      <c r="S106">
        <v>0</v>
      </c>
      <c r="T106">
        <v>0</v>
      </c>
      <c r="U106">
        <v>0</v>
      </c>
      <c r="V106">
        <v>2</v>
      </c>
    </row>
    <row r="107" spans="1:22" x14ac:dyDescent="0.25">
      <c r="A107">
        <v>105</v>
      </c>
      <c r="B107" t="s">
        <v>187</v>
      </c>
      <c r="C107" t="s">
        <v>43</v>
      </c>
      <c r="D107" t="str" cm="1">
        <f t="array" ref="D10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07">
        <v>25</v>
      </c>
      <c r="F10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7" s="2">
        <v>40.5</v>
      </c>
      <c r="H10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7" t="s">
        <v>87</v>
      </c>
      <c r="J107" t="s">
        <v>188</v>
      </c>
      <c r="K107">
        <v>16</v>
      </c>
      <c r="L107">
        <v>8</v>
      </c>
      <c r="M107">
        <v>0</v>
      </c>
      <c r="N107">
        <v>3</v>
      </c>
      <c r="O107">
        <f>players[[#This Row],[Goals]]+players[[#This Row],[Assists]]</f>
        <v>11</v>
      </c>
      <c r="P107" s="1">
        <f>IF(players[[#This Row],[Matches]]&gt;0,players[[#This Row],[Total Goal Involvement]]/players[[#This Row],[Matches]],0)</f>
        <v>0.6875</v>
      </c>
      <c r="Q107" s="3">
        <f>players[[#This Row],[Total Goal Involvement per match]]/players[[#This Row],[Markey Value In Millions(£)]]</f>
        <v>1.6975308641975308E-2</v>
      </c>
      <c r="R107">
        <v>2</v>
      </c>
      <c r="S107">
        <v>0</v>
      </c>
      <c r="T107">
        <v>0</v>
      </c>
      <c r="U107">
        <v>1</v>
      </c>
      <c r="V107">
        <v>4</v>
      </c>
    </row>
    <row r="108" spans="1:22" x14ac:dyDescent="0.25">
      <c r="A108">
        <v>106</v>
      </c>
      <c r="B108" t="s">
        <v>189</v>
      </c>
      <c r="C108" t="s">
        <v>71</v>
      </c>
      <c r="D108" t="str" cm="1">
        <f t="array" ref="D10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08">
        <v>25</v>
      </c>
      <c r="F10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8" s="2">
        <v>40.5</v>
      </c>
      <c r="H10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8" t="s">
        <v>18</v>
      </c>
      <c r="J108" t="s">
        <v>51</v>
      </c>
      <c r="K108">
        <v>12</v>
      </c>
      <c r="L108">
        <v>0</v>
      </c>
      <c r="M108">
        <v>0</v>
      </c>
      <c r="N108">
        <v>0</v>
      </c>
      <c r="O108">
        <f>players[[#This Row],[Goals]]+players[[#This Row],[Assists]]</f>
        <v>0</v>
      </c>
      <c r="P108" s="1">
        <f>IF(players[[#This Row],[Matches]]&gt;0,players[[#This Row],[Total Goal Involvement]]/players[[#This Row],[Matches]],0)</f>
        <v>0</v>
      </c>
      <c r="Q108" s="3">
        <f>players[[#This Row],[Total Goal Involvement per match]]/players[[#This Row],[Markey Value In Millions(£)]]</f>
        <v>0</v>
      </c>
      <c r="R108">
        <v>2</v>
      </c>
      <c r="S108">
        <v>0</v>
      </c>
      <c r="T108">
        <v>0</v>
      </c>
      <c r="U108">
        <v>1</v>
      </c>
      <c r="V108">
        <v>4</v>
      </c>
    </row>
    <row r="109" spans="1:22" x14ac:dyDescent="0.25">
      <c r="A109">
        <v>107</v>
      </c>
      <c r="B109" t="s">
        <v>190</v>
      </c>
      <c r="C109" t="s">
        <v>71</v>
      </c>
      <c r="D109" t="str" cm="1">
        <f t="array" ref="D10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09">
        <v>27</v>
      </c>
      <c r="F10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09" s="2">
        <v>40.5</v>
      </c>
      <c r="H10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09" t="s">
        <v>59</v>
      </c>
      <c r="J109" t="s">
        <v>28</v>
      </c>
      <c r="K109">
        <v>11</v>
      </c>
      <c r="L109">
        <v>1</v>
      </c>
      <c r="M109">
        <v>0</v>
      </c>
      <c r="N109">
        <v>0</v>
      </c>
      <c r="O109">
        <f>players[[#This Row],[Goals]]+players[[#This Row],[Assists]]</f>
        <v>1</v>
      </c>
      <c r="P109" s="1">
        <f>IF(players[[#This Row],[Matches]]&gt;0,players[[#This Row],[Total Goal Involvement]]/players[[#This Row],[Matches]],0)</f>
        <v>9.0909090909090912E-2</v>
      </c>
      <c r="Q109" s="3">
        <f>players[[#This Row],[Total Goal Involvement per match]]/players[[#This Row],[Markey Value In Millions(£)]]</f>
        <v>2.2446689113355782E-3</v>
      </c>
      <c r="R109">
        <v>4</v>
      </c>
      <c r="S109">
        <v>0</v>
      </c>
      <c r="T109">
        <v>1</v>
      </c>
      <c r="U109">
        <v>0</v>
      </c>
      <c r="V109">
        <v>2</v>
      </c>
    </row>
    <row r="110" spans="1:22" x14ac:dyDescent="0.25">
      <c r="A110">
        <v>108</v>
      </c>
      <c r="B110" t="s">
        <v>191</v>
      </c>
      <c r="C110" t="s">
        <v>17</v>
      </c>
      <c r="D110" t="str" cm="1">
        <f t="array" ref="D11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10">
        <v>27</v>
      </c>
      <c r="F11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0" s="2">
        <v>40.5</v>
      </c>
      <c r="H11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0" t="s">
        <v>44</v>
      </c>
      <c r="J110" t="s">
        <v>45</v>
      </c>
      <c r="K110">
        <v>16</v>
      </c>
      <c r="L110">
        <v>6</v>
      </c>
      <c r="M110">
        <v>0</v>
      </c>
      <c r="N110">
        <v>2</v>
      </c>
      <c r="O110">
        <f>players[[#This Row],[Goals]]+players[[#This Row],[Assists]]</f>
        <v>8</v>
      </c>
      <c r="P110" s="1">
        <f>IF(players[[#This Row],[Matches]]&gt;0,players[[#This Row],[Total Goal Involvement]]/players[[#This Row],[Matches]],0)</f>
        <v>0.5</v>
      </c>
      <c r="Q110" s="3">
        <f>players[[#This Row],[Total Goal Involvement per match]]/players[[#This Row],[Markey Value In Millions(£)]]</f>
        <v>1.2345679012345678E-2</v>
      </c>
      <c r="R110">
        <v>1</v>
      </c>
      <c r="S110">
        <v>0</v>
      </c>
      <c r="T110">
        <v>0</v>
      </c>
      <c r="U110">
        <v>0</v>
      </c>
      <c r="V110">
        <v>2</v>
      </c>
    </row>
    <row r="111" spans="1:22" x14ac:dyDescent="0.25">
      <c r="A111">
        <v>109</v>
      </c>
      <c r="B111" t="s">
        <v>192</v>
      </c>
      <c r="C111" t="s">
        <v>27</v>
      </c>
      <c r="D111" t="str" cm="1">
        <f t="array" ref="D11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11">
        <v>29</v>
      </c>
      <c r="F11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1" s="2">
        <v>40.5</v>
      </c>
      <c r="H11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1" t="s">
        <v>140</v>
      </c>
      <c r="J111" t="s">
        <v>193</v>
      </c>
      <c r="K111">
        <v>11</v>
      </c>
      <c r="L111">
        <v>4</v>
      </c>
      <c r="M111">
        <v>0</v>
      </c>
      <c r="N111">
        <v>1</v>
      </c>
      <c r="O111">
        <f>players[[#This Row],[Goals]]+players[[#This Row],[Assists]]</f>
        <v>5</v>
      </c>
      <c r="P111" s="1">
        <f>IF(players[[#This Row],[Matches]]&gt;0,players[[#This Row],[Total Goal Involvement]]/players[[#This Row],[Matches]],0)</f>
        <v>0.45454545454545453</v>
      </c>
      <c r="Q111" s="3">
        <f>players[[#This Row],[Total Goal Involvement per match]]/players[[#This Row],[Markey Value In Millions(£)]]</f>
        <v>1.1223344556677889E-2</v>
      </c>
      <c r="R111">
        <v>1</v>
      </c>
      <c r="S111">
        <v>0</v>
      </c>
      <c r="T111">
        <v>0</v>
      </c>
      <c r="U111">
        <v>1</v>
      </c>
      <c r="V111">
        <v>0</v>
      </c>
    </row>
    <row r="112" spans="1:22" x14ac:dyDescent="0.25">
      <c r="A112">
        <v>110</v>
      </c>
      <c r="B112" t="s">
        <v>194</v>
      </c>
      <c r="C112" t="s">
        <v>17</v>
      </c>
      <c r="D112" t="str" cm="1">
        <f t="array" ref="D11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12">
        <v>29</v>
      </c>
      <c r="F11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2" s="2">
        <v>40.5</v>
      </c>
      <c r="H11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2" t="s">
        <v>59</v>
      </c>
      <c r="J112" t="s">
        <v>88</v>
      </c>
      <c r="K112">
        <v>14</v>
      </c>
      <c r="L112">
        <v>4</v>
      </c>
      <c r="M112">
        <v>0</v>
      </c>
      <c r="N112">
        <v>1</v>
      </c>
      <c r="O112">
        <f>players[[#This Row],[Goals]]+players[[#This Row],[Assists]]</f>
        <v>5</v>
      </c>
      <c r="P112" s="1">
        <f>IF(players[[#This Row],[Matches]]&gt;0,players[[#This Row],[Total Goal Involvement]]/players[[#This Row],[Matches]],0)</f>
        <v>0.35714285714285715</v>
      </c>
      <c r="Q112" s="3">
        <f>players[[#This Row],[Total Goal Involvement per match]]/players[[#This Row],[Markey Value In Millions(£)]]</f>
        <v>8.8183421516754845E-3</v>
      </c>
      <c r="R112">
        <v>2</v>
      </c>
      <c r="S112">
        <v>0</v>
      </c>
      <c r="T112">
        <v>0</v>
      </c>
      <c r="U112">
        <v>3</v>
      </c>
      <c r="V112">
        <v>8</v>
      </c>
    </row>
    <row r="113" spans="1:22" x14ac:dyDescent="0.25">
      <c r="A113">
        <v>111</v>
      </c>
      <c r="B113" t="s">
        <v>195</v>
      </c>
      <c r="C113" t="s">
        <v>49</v>
      </c>
      <c r="D113" t="str" cm="1">
        <f t="array" ref="D11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13">
        <v>29</v>
      </c>
      <c r="F11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3" s="2">
        <v>40.5</v>
      </c>
      <c r="H11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3" t="s">
        <v>87</v>
      </c>
      <c r="J113" t="s">
        <v>35</v>
      </c>
      <c r="K113">
        <v>15</v>
      </c>
      <c r="L113">
        <v>3</v>
      </c>
      <c r="M113">
        <v>0</v>
      </c>
      <c r="N113">
        <v>1</v>
      </c>
      <c r="O113">
        <f>players[[#This Row],[Goals]]+players[[#This Row],[Assists]]</f>
        <v>4</v>
      </c>
      <c r="P113" s="1">
        <f>IF(players[[#This Row],[Matches]]&gt;0,players[[#This Row],[Total Goal Involvement]]/players[[#This Row],[Matches]],0)</f>
        <v>0.26666666666666666</v>
      </c>
      <c r="Q113" s="3">
        <f>players[[#This Row],[Total Goal Involvement per match]]/players[[#This Row],[Markey Value In Millions(£)]]</f>
        <v>6.5843621399176953E-3</v>
      </c>
      <c r="R113">
        <v>0</v>
      </c>
      <c r="S113">
        <v>0</v>
      </c>
      <c r="T113">
        <v>0</v>
      </c>
      <c r="U113">
        <v>3</v>
      </c>
      <c r="V113">
        <v>4</v>
      </c>
    </row>
    <row r="114" spans="1:22" x14ac:dyDescent="0.25">
      <c r="A114">
        <v>112</v>
      </c>
      <c r="B114" t="s">
        <v>196</v>
      </c>
      <c r="C114" t="s">
        <v>43</v>
      </c>
      <c r="D114" t="str" cm="1">
        <f t="array" ref="D11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14">
        <v>27</v>
      </c>
      <c r="F11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4" s="2">
        <v>40.5</v>
      </c>
      <c r="H11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4" t="s">
        <v>197</v>
      </c>
      <c r="J114" t="s">
        <v>35</v>
      </c>
      <c r="K114">
        <v>13</v>
      </c>
      <c r="L114">
        <v>1</v>
      </c>
      <c r="M114">
        <v>0</v>
      </c>
      <c r="N114">
        <v>5</v>
      </c>
      <c r="O114">
        <f>players[[#This Row],[Goals]]+players[[#This Row],[Assists]]</f>
        <v>6</v>
      </c>
      <c r="P114" s="1">
        <f>IF(players[[#This Row],[Matches]]&gt;0,players[[#This Row],[Total Goal Involvement]]/players[[#This Row],[Matches]],0)</f>
        <v>0.46153846153846156</v>
      </c>
      <c r="Q114" s="3">
        <f>players[[#This Row],[Total Goal Involvement per match]]/players[[#This Row],[Markey Value In Millions(£)]]</f>
        <v>1.1396011396011397E-2</v>
      </c>
      <c r="R114">
        <v>1</v>
      </c>
      <c r="S114">
        <v>0</v>
      </c>
      <c r="T114">
        <v>0</v>
      </c>
      <c r="U114">
        <v>1</v>
      </c>
      <c r="V114">
        <v>3</v>
      </c>
    </row>
    <row r="115" spans="1:22" x14ac:dyDescent="0.25">
      <c r="A115">
        <v>113</v>
      </c>
      <c r="B115" t="s">
        <v>198</v>
      </c>
      <c r="C115" t="s">
        <v>17</v>
      </c>
      <c r="D115" t="str" cm="1">
        <f t="array" ref="D11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15">
        <v>36</v>
      </c>
      <c r="F115" t="str">
        <f>IF(players[[#This Row],[Age]]&gt;34,"Veterans",IF(players[[#This Row],[Age]]&gt;29,"Experienced",IF(players[[#This Row],[Age]]&gt;23,"Career peak",IF(players[[#This Row],[Age]]&gt;19,"Young","Teenagers"))))</f>
        <v>Veterans</v>
      </c>
      <c r="G115" s="2">
        <v>40.5</v>
      </c>
      <c r="H11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5" t="s">
        <v>47</v>
      </c>
      <c r="J115" t="s">
        <v>41</v>
      </c>
      <c r="K115">
        <v>14</v>
      </c>
      <c r="L115">
        <v>10</v>
      </c>
      <c r="M115">
        <v>0</v>
      </c>
      <c r="N115">
        <v>1</v>
      </c>
      <c r="O115">
        <f>players[[#This Row],[Goals]]+players[[#This Row],[Assists]]</f>
        <v>11</v>
      </c>
      <c r="P115" s="1">
        <f>IF(players[[#This Row],[Matches]]&gt;0,players[[#This Row],[Total Goal Involvement]]/players[[#This Row],[Matches]],0)</f>
        <v>0.7857142857142857</v>
      </c>
      <c r="Q115" s="3">
        <f>players[[#This Row],[Total Goal Involvement per match]]/players[[#This Row],[Markey Value In Millions(£)]]</f>
        <v>1.9400352733686066E-2</v>
      </c>
      <c r="R115">
        <v>4</v>
      </c>
      <c r="S115">
        <v>0</v>
      </c>
      <c r="T115">
        <v>0</v>
      </c>
      <c r="U115">
        <v>2</v>
      </c>
      <c r="V115">
        <v>3</v>
      </c>
    </row>
    <row r="116" spans="1:22" x14ac:dyDescent="0.25">
      <c r="A116">
        <v>114</v>
      </c>
      <c r="B116" t="s">
        <v>199</v>
      </c>
      <c r="C116" t="s">
        <v>37</v>
      </c>
      <c r="D116" t="str" cm="1">
        <f t="array" ref="D11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16">
        <v>19</v>
      </c>
      <c r="F116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116" s="2">
        <v>37.799999999999997</v>
      </c>
      <c r="H11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6" t="s">
        <v>162</v>
      </c>
      <c r="J116" t="s">
        <v>22</v>
      </c>
      <c r="K116">
        <v>5</v>
      </c>
      <c r="L116">
        <v>2</v>
      </c>
      <c r="M116">
        <v>0</v>
      </c>
      <c r="N116">
        <v>1</v>
      </c>
      <c r="O116">
        <f>players[[#This Row],[Goals]]+players[[#This Row],[Assists]]</f>
        <v>3</v>
      </c>
      <c r="P116" s="1">
        <f>IF(players[[#This Row],[Matches]]&gt;0,players[[#This Row],[Total Goal Involvement]]/players[[#This Row],[Matches]],0)</f>
        <v>0.6</v>
      </c>
      <c r="Q116" s="3">
        <f>players[[#This Row],[Total Goal Involvement per match]]/players[[#This Row],[Markey Value In Millions(£)]]</f>
        <v>1.5873015873015872E-2</v>
      </c>
      <c r="R116">
        <v>0</v>
      </c>
      <c r="S116">
        <v>0</v>
      </c>
      <c r="T116">
        <v>0</v>
      </c>
      <c r="U116">
        <v>0</v>
      </c>
      <c r="V116">
        <v>5</v>
      </c>
    </row>
    <row r="117" spans="1:22" x14ac:dyDescent="0.25">
      <c r="A117">
        <v>115</v>
      </c>
      <c r="B117" t="s">
        <v>200</v>
      </c>
      <c r="C117" t="s">
        <v>27</v>
      </c>
      <c r="D117" t="str" cm="1">
        <f t="array" ref="D11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17">
        <v>22</v>
      </c>
      <c r="F117" t="str">
        <f>IF(players[[#This Row],[Age]]&gt;34,"Veterans",IF(players[[#This Row],[Age]]&gt;29,"Experienced",IF(players[[#This Row],[Age]]&gt;23,"Career peak",IF(players[[#This Row],[Age]]&gt;19,"Young","Teenagers"))))</f>
        <v>Young</v>
      </c>
      <c r="G117" s="2">
        <v>37.799999999999997</v>
      </c>
      <c r="H11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7" t="s">
        <v>18</v>
      </c>
      <c r="J117" t="s">
        <v>104</v>
      </c>
      <c r="K117">
        <v>16</v>
      </c>
      <c r="L117">
        <v>6</v>
      </c>
      <c r="M117">
        <v>0</v>
      </c>
      <c r="N117">
        <v>4</v>
      </c>
      <c r="O117">
        <f>players[[#This Row],[Goals]]+players[[#This Row],[Assists]]</f>
        <v>10</v>
      </c>
      <c r="P117" s="1">
        <f>IF(players[[#This Row],[Matches]]&gt;0,players[[#This Row],[Total Goal Involvement]]/players[[#This Row],[Matches]],0)</f>
        <v>0.625</v>
      </c>
      <c r="Q117" s="3">
        <f>players[[#This Row],[Total Goal Involvement per match]]/players[[#This Row],[Markey Value In Millions(£)]]</f>
        <v>1.6534391534391537E-2</v>
      </c>
      <c r="R117">
        <v>7</v>
      </c>
      <c r="S117">
        <v>0</v>
      </c>
      <c r="T117">
        <v>0</v>
      </c>
      <c r="U117">
        <v>0</v>
      </c>
      <c r="V117">
        <v>8</v>
      </c>
    </row>
    <row r="118" spans="1:22" x14ac:dyDescent="0.25">
      <c r="A118">
        <v>116</v>
      </c>
      <c r="B118" t="s">
        <v>201</v>
      </c>
      <c r="C118" t="s">
        <v>49</v>
      </c>
      <c r="D118" t="str" cm="1">
        <f t="array" ref="D11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18">
        <v>26</v>
      </c>
      <c r="F11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8" s="2">
        <v>37.799999999999997</v>
      </c>
      <c r="H11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8" t="s">
        <v>202</v>
      </c>
      <c r="J118" t="s">
        <v>82</v>
      </c>
      <c r="K118">
        <v>18</v>
      </c>
      <c r="L118">
        <v>2</v>
      </c>
      <c r="M118">
        <v>1</v>
      </c>
      <c r="N118">
        <v>1</v>
      </c>
      <c r="O118">
        <f>players[[#This Row],[Goals]]+players[[#This Row],[Assists]]</f>
        <v>3</v>
      </c>
      <c r="P118" s="1">
        <f>IF(players[[#This Row],[Matches]]&gt;0,players[[#This Row],[Total Goal Involvement]]/players[[#This Row],[Matches]],0)</f>
        <v>0.16666666666666666</v>
      </c>
      <c r="Q118" s="3">
        <f>players[[#This Row],[Total Goal Involvement per match]]/players[[#This Row],[Markey Value In Millions(£)]]</f>
        <v>4.4091710758377423E-3</v>
      </c>
      <c r="R118">
        <v>2</v>
      </c>
      <c r="S118">
        <v>0</v>
      </c>
      <c r="T118">
        <v>0</v>
      </c>
      <c r="U118">
        <v>2</v>
      </c>
      <c r="V118">
        <v>2</v>
      </c>
    </row>
    <row r="119" spans="1:22" x14ac:dyDescent="0.25">
      <c r="A119">
        <v>117</v>
      </c>
      <c r="B119" t="s">
        <v>203</v>
      </c>
      <c r="C119" t="s">
        <v>49</v>
      </c>
      <c r="D119" t="str" cm="1">
        <f t="array" ref="D11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19">
        <v>24</v>
      </c>
      <c r="F11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19" s="2">
        <v>37.799999999999997</v>
      </c>
      <c r="H11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19" t="s">
        <v>47</v>
      </c>
      <c r="J119" t="s">
        <v>204</v>
      </c>
      <c r="K119">
        <v>13</v>
      </c>
      <c r="L119">
        <v>1</v>
      </c>
      <c r="M119">
        <v>0</v>
      </c>
      <c r="N119">
        <v>0</v>
      </c>
      <c r="O119">
        <f>players[[#This Row],[Goals]]+players[[#This Row],[Assists]]</f>
        <v>1</v>
      </c>
      <c r="P119" s="1">
        <f>IF(players[[#This Row],[Matches]]&gt;0,players[[#This Row],[Total Goal Involvement]]/players[[#This Row],[Matches]],0)</f>
        <v>7.6923076923076927E-2</v>
      </c>
      <c r="Q119" s="3">
        <f>players[[#This Row],[Total Goal Involvement per match]]/players[[#This Row],[Markey Value In Millions(£)]]</f>
        <v>2.0350020350020353E-3</v>
      </c>
      <c r="R119">
        <v>4</v>
      </c>
      <c r="S119">
        <v>0</v>
      </c>
      <c r="T119">
        <v>0</v>
      </c>
      <c r="U119">
        <v>2</v>
      </c>
      <c r="V119">
        <v>1</v>
      </c>
    </row>
    <row r="120" spans="1:22" x14ac:dyDescent="0.25">
      <c r="A120">
        <v>118</v>
      </c>
      <c r="B120" t="s">
        <v>205</v>
      </c>
      <c r="C120" t="s">
        <v>77</v>
      </c>
      <c r="D120" t="str" cm="1">
        <f t="array" ref="D12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20">
        <v>26</v>
      </c>
      <c r="F12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20" s="2">
        <v>37.799999999999997</v>
      </c>
      <c r="H12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0" t="s">
        <v>24</v>
      </c>
      <c r="J120" t="s">
        <v>41</v>
      </c>
      <c r="K120">
        <v>14</v>
      </c>
      <c r="L120">
        <v>0</v>
      </c>
      <c r="M120">
        <v>0</v>
      </c>
      <c r="N120">
        <v>2</v>
      </c>
      <c r="O120">
        <f>players[[#This Row],[Goals]]+players[[#This Row],[Assists]]</f>
        <v>2</v>
      </c>
      <c r="P120" s="1">
        <f>IF(players[[#This Row],[Matches]]&gt;0,players[[#This Row],[Total Goal Involvement]]/players[[#This Row],[Matches]],0)</f>
        <v>0.14285714285714285</v>
      </c>
      <c r="Q120" s="3">
        <f>players[[#This Row],[Total Goal Involvement per match]]/players[[#This Row],[Markey Value In Millions(£)]]</f>
        <v>3.779289493575208E-3</v>
      </c>
      <c r="R120">
        <v>5</v>
      </c>
      <c r="S120">
        <v>0</v>
      </c>
      <c r="T120">
        <v>0</v>
      </c>
      <c r="U120">
        <v>0</v>
      </c>
      <c r="V120">
        <v>2</v>
      </c>
    </row>
    <row r="121" spans="1:22" x14ac:dyDescent="0.25">
      <c r="A121">
        <v>119</v>
      </c>
      <c r="B121" t="s">
        <v>206</v>
      </c>
      <c r="C121" t="s">
        <v>30</v>
      </c>
      <c r="D121" t="str" cm="1">
        <f t="array" ref="D12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21">
        <v>30</v>
      </c>
      <c r="F121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121" s="2">
        <v>37.799999999999997</v>
      </c>
      <c r="H12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1" t="s">
        <v>207</v>
      </c>
      <c r="J121" t="s">
        <v>28</v>
      </c>
      <c r="K121">
        <v>15</v>
      </c>
      <c r="L121">
        <v>8</v>
      </c>
      <c r="M121">
        <v>0</v>
      </c>
      <c r="N121">
        <v>2</v>
      </c>
      <c r="O121">
        <f>players[[#This Row],[Goals]]+players[[#This Row],[Assists]]</f>
        <v>10</v>
      </c>
      <c r="P121" s="1">
        <f>IF(players[[#This Row],[Matches]]&gt;0,players[[#This Row],[Total Goal Involvement]]/players[[#This Row],[Matches]],0)</f>
        <v>0.66666666666666663</v>
      </c>
      <c r="Q121" s="3">
        <f>players[[#This Row],[Total Goal Involvement per match]]/players[[#This Row],[Markey Value In Millions(£)]]</f>
        <v>1.7636684303350969E-2</v>
      </c>
      <c r="R121">
        <v>0</v>
      </c>
      <c r="S121">
        <v>0</v>
      </c>
      <c r="T121">
        <v>0</v>
      </c>
      <c r="U121">
        <v>6</v>
      </c>
      <c r="V121">
        <v>3</v>
      </c>
    </row>
    <row r="122" spans="1:22" x14ac:dyDescent="0.25">
      <c r="A122">
        <v>120</v>
      </c>
      <c r="B122" t="s">
        <v>208</v>
      </c>
      <c r="C122" t="s">
        <v>77</v>
      </c>
      <c r="D122" t="str" cm="1">
        <f t="array" ref="D12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22">
        <v>19</v>
      </c>
      <c r="F122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122" s="2">
        <v>36</v>
      </c>
      <c r="H12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2" t="s">
        <v>47</v>
      </c>
      <c r="J122" t="s">
        <v>19</v>
      </c>
      <c r="K122">
        <v>16</v>
      </c>
      <c r="L122">
        <v>0</v>
      </c>
      <c r="M122">
        <v>1</v>
      </c>
      <c r="N122">
        <v>1</v>
      </c>
      <c r="O122">
        <f>players[[#This Row],[Goals]]+players[[#This Row],[Assists]]</f>
        <v>1</v>
      </c>
      <c r="P122" s="1">
        <f>IF(players[[#This Row],[Matches]]&gt;0,players[[#This Row],[Total Goal Involvement]]/players[[#This Row],[Matches]],0)</f>
        <v>6.25E-2</v>
      </c>
      <c r="Q122" s="3">
        <f>players[[#This Row],[Total Goal Involvement per match]]/players[[#This Row],[Markey Value In Millions(£)]]</f>
        <v>1.736111111111111E-3</v>
      </c>
      <c r="R122">
        <v>4</v>
      </c>
      <c r="S122">
        <v>0</v>
      </c>
      <c r="T122">
        <v>0</v>
      </c>
      <c r="U122">
        <v>5</v>
      </c>
      <c r="V122">
        <v>4</v>
      </c>
    </row>
    <row r="123" spans="1:22" x14ac:dyDescent="0.25">
      <c r="A123">
        <v>121</v>
      </c>
      <c r="B123" t="s">
        <v>209</v>
      </c>
      <c r="C123" t="s">
        <v>71</v>
      </c>
      <c r="D123" t="str" cm="1">
        <f t="array" ref="D12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23">
        <v>22</v>
      </c>
      <c r="F123" t="str">
        <f>IF(players[[#This Row],[Age]]&gt;34,"Veterans",IF(players[[#This Row],[Age]]&gt;29,"Experienced",IF(players[[#This Row],[Age]]&gt;23,"Career peak",IF(players[[#This Row],[Age]]&gt;19,"Young","Teenagers"))))</f>
        <v>Young</v>
      </c>
      <c r="G123" s="2">
        <v>36</v>
      </c>
      <c r="H12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3" t="s">
        <v>210</v>
      </c>
      <c r="J123" t="s">
        <v>104</v>
      </c>
      <c r="K123">
        <v>7</v>
      </c>
      <c r="L123">
        <v>0</v>
      </c>
      <c r="M123">
        <v>0</v>
      </c>
      <c r="N123">
        <v>0</v>
      </c>
      <c r="O123">
        <f>players[[#This Row],[Goals]]+players[[#This Row],[Assists]]</f>
        <v>0</v>
      </c>
      <c r="P123" s="1">
        <f>IF(players[[#This Row],[Matches]]&gt;0,players[[#This Row],[Total Goal Involvement]]/players[[#This Row],[Matches]],0)</f>
        <v>0</v>
      </c>
      <c r="Q123" s="3">
        <f>players[[#This Row],[Total Goal Involvement per match]]/players[[#This Row],[Markey Value In Millions(£)]]</f>
        <v>0</v>
      </c>
      <c r="R123">
        <v>1</v>
      </c>
      <c r="S123">
        <v>0</v>
      </c>
      <c r="T123">
        <v>0</v>
      </c>
      <c r="U123">
        <v>2</v>
      </c>
      <c r="V123">
        <v>0</v>
      </c>
    </row>
    <row r="124" spans="1:22" x14ac:dyDescent="0.25">
      <c r="A124">
        <v>122</v>
      </c>
      <c r="B124" t="s">
        <v>211</v>
      </c>
      <c r="C124" t="s">
        <v>69</v>
      </c>
      <c r="D124" t="str" cm="1">
        <f t="array" ref="D12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24">
        <v>23</v>
      </c>
      <c r="F124" t="str">
        <f>IF(players[[#This Row],[Age]]&gt;34,"Veterans",IF(players[[#This Row],[Age]]&gt;29,"Experienced",IF(players[[#This Row],[Age]]&gt;23,"Career peak",IF(players[[#This Row],[Age]]&gt;19,"Young","Teenagers"))))</f>
        <v>Young</v>
      </c>
      <c r="G124" s="2">
        <v>36</v>
      </c>
      <c r="H12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4" t="s">
        <v>24</v>
      </c>
      <c r="J124" t="s">
        <v>41</v>
      </c>
      <c r="K124">
        <v>14</v>
      </c>
      <c r="L124">
        <v>0</v>
      </c>
      <c r="M124">
        <v>0</v>
      </c>
      <c r="N124">
        <v>0</v>
      </c>
      <c r="O124">
        <f>players[[#This Row],[Goals]]+players[[#This Row],[Assists]]</f>
        <v>0</v>
      </c>
      <c r="P124" s="1">
        <f>IF(players[[#This Row],[Matches]]&gt;0,players[[#This Row],[Total Goal Involvement]]/players[[#This Row],[Matches]],0)</f>
        <v>0</v>
      </c>
      <c r="Q124" s="3">
        <f>players[[#This Row],[Total Goal Involvement per match]]/players[[#This Row],[Markey Value In Millions(£)]]</f>
        <v>0</v>
      </c>
      <c r="R124">
        <v>2</v>
      </c>
      <c r="S124">
        <v>0</v>
      </c>
      <c r="T124">
        <v>1</v>
      </c>
      <c r="U124">
        <v>0</v>
      </c>
      <c r="V124">
        <v>0</v>
      </c>
    </row>
    <row r="125" spans="1:22" x14ac:dyDescent="0.25">
      <c r="A125">
        <v>123</v>
      </c>
      <c r="B125" t="s">
        <v>212</v>
      </c>
      <c r="C125" t="s">
        <v>71</v>
      </c>
      <c r="D125" t="str" cm="1">
        <f t="array" ref="D12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25">
        <v>20</v>
      </c>
      <c r="F125" t="str">
        <f>IF(players[[#This Row],[Age]]&gt;34,"Veterans",IF(players[[#This Row],[Age]]&gt;29,"Experienced",IF(players[[#This Row],[Age]]&gt;23,"Career peak",IF(players[[#This Row],[Age]]&gt;19,"Young","Teenagers"))))</f>
        <v>Young</v>
      </c>
      <c r="G125" s="2">
        <v>36</v>
      </c>
      <c r="H12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5" t="s">
        <v>18</v>
      </c>
      <c r="J125" t="s">
        <v>124</v>
      </c>
      <c r="K125">
        <v>0</v>
      </c>
      <c r="L125">
        <v>0</v>
      </c>
      <c r="M125">
        <v>0</v>
      </c>
      <c r="N125">
        <v>0</v>
      </c>
      <c r="O125">
        <f>players[[#This Row],[Goals]]+players[[#This Row],[Assists]]</f>
        <v>0</v>
      </c>
      <c r="P125" s="1">
        <f>IF(players[[#This Row],[Matches]]&gt;0,players[[#This Row],[Total Goal Involvement]]/players[[#This Row],[Matches]],0)</f>
        <v>0</v>
      </c>
      <c r="Q125" s="3">
        <f>players[[#This Row],[Total Goal Involvement per match]]/players[[#This Row],[Markey Value In Millions(£)]]</f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>
        <v>124</v>
      </c>
      <c r="B126" t="s">
        <v>213</v>
      </c>
      <c r="C126" t="s">
        <v>17</v>
      </c>
      <c r="D126" t="str" cm="1">
        <f t="array" ref="D12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26">
        <v>24</v>
      </c>
      <c r="F12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26" s="2">
        <v>36</v>
      </c>
      <c r="H12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6" t="s">
        <v>80</v>
      </c>
      <c r="J126" t="s">
        <v>116</v>
      </c>
      <c r="K126">
        <v>9</v>
      </c>
      <c r="L126">
        <v>3</v>
      </c>
      <c r="M126">
        <v>0</v>
      </c>
      <c r="N126">
        <v>2</v>
      </c>
      <c r="O126">
        <f>players[[#This Row],[Goals]]+players[[#This Row],[Assists]]</f>
        <v>5</v>
      </c>
      <c r="P126" s="1">
        <f>IF(players[[#This Row],[Matches]]&gt;0,players[[#This Row],[Total Goal Involvement]]/players[[#This Row],[Matches]],0)</f>
        <v>0.55555555555555558</v>
      </c>
      <c r="Q126" s="3">
        <f>players[[#This Row],[Total Goal Involvement per match]]/players[[#This Row],[Markey Value In Millions(£)]]</f>
        <v>1.54320987654321E-2</v>
      </c>
      <c r="R126">
        <v>1</v>
      </c>
      <c r="S126">
        <v>1</v>
      </c>
      <c r="T126">
        <v>0</v>
      </c>
      <c r="U126">
        <v>3</v>
      </c>
      <c r="V126">
        <v>4</v>
      </c>
    </row>
    <row r="127" spans="1:22" x14ac:dyDescent="0.25">
      <c r="A127">
        <v>125</v>
      </c>
      <c r="B127" t="s">
        <v>214</v>
      </c>
      <c r="C127" t="s">
        <v>71</v>
      </c>
      <c r="D127" t="str" cm="1">
        <f t="array" ref="D12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27">
        <v>23</v>
      </c>
      <c r="F127" t="str">
        <f>IF(players[[#This Row],[Age]]&gt;34,"Veterans",IF(players[[#This Row],[Age]]&gt;29,"Experienced",IF(players[[#This Row],[Age]]&gt;23,"Career peak",IF(players[[#This Row],[Age]]&gt;19,"Young","Teenagers"))))</f>
        <v>Young</v>
      </c>
      <c r="G127" s="2">
        <v>36</v>
      </c>
      <c r="H12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7" t="s">
        <v>39</v>
      </c>
      <c r="J127" t="s">
        <v>102</v>
      </c>
      <c r="K127">
        <v>16</v>
      </c>
      <c r="L127">
        <v>0</v>
      </c>
      <c r="M127">
        <v>0</v>
      </c>
      <c r="N127">
        <v>0</v>
      </c>
      <c r="O127">
        <f>players[[#This Row],[Goals]]+players[[#This Row],[Assists]]</f>
        <v>0</v>
      </c>
      <c r="P127" s="1">
        <f>IF(players[[#This Row],[Matches]]&gt;0,players[[#This Row],[Total Goal Involvement]]/players[[#This Row],[Matches]],0)</f>
        <v>0</v>
      </c>
      <c r="Q127" s="3">
        <f>players[[#This Row],[Total Goal Involvement per match]]/players[[#This Row],[Markey Value In Millions(£)]]</f>
        <v>0</v>
      </c>
      <c r="R127">
        <v>1</v>
      </c>
      <c r="S127">
        <v>0</v>
      </c>
      <c r="T127">
        <v>0</v>
      </c>
      <c r="U127">
        <v>0</v>
      </c>
      <c r="V127">
        <v>1</v>
      </c>
    </row>
    <row r="128" spans="1:22" x14ac:dyDescent="0.25">
      <c r="A128">
        <v>126</v>
      </c>
      <c r="B128" t="s">
        <v>215</v>
      </c>
      <c r="C128" t="s">
        <v>30</v>
      </c>
      <c r="D128" t="str" cm="1">
        <f t="array" ref="D12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28">
        <v>22</v>
      </c>
      <c r="F128" t="str">
        <f>IF(players[[#This Row],[Age]]&gt;34,"Veterans",IF(players[[#This Row],[Age]]&gt;29,"Experienced",IF(players[[#This Row],[Age]]&gt;23,"Career peak",IF(players[[#This Row],[Age]]&gt;19,"Young","Teenagers"))))</f>
        <v>Young</v>
      </c>
      <c r="G128" s="2">
        <v>36</v>
      </c>
      <c r="H12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8" t="s">
        <v>87</v>
      </c>
      <c r="J128" t="s">
        <v>188</v>
      </c>
      <c r="K128">
        <v>15</v>
      </c>
      <c r="L128">
        <v>1</v>
      </c>
      <c r="M128">
        <v>0</v>
      </c>
      <c r="N128">
        <v>2</v>
      </c>
      <c r="O128">
        <f>players[[#This Row],[Goals]]+players[[#This Row],[Assists]]</f>
        <v>3</v>
      </c>
      <c r="P128" s="1">
        <f>IF(players[[#This Row],[Matches]]&gt;0,players[[#This Row],[Total Goal Involvement]]/players[[#This Row],[Matches]],0)</f>
        <v>0.2</v>
      </c>
      <c r="Q128" s="3">
        <f>players[[#This Row],[Total Goal Involvement per match]]/players[[#This Row],[Markey Value In Millions(£)]]</f>
        <v>5.5555555555555558E-3</v>
      </c>
      <c r="R128">
        <v>3</v>
      </c>
      <c r="S128">
        <v>1</v>
      </c>
      <c r="T128">
        <v>0</v>
      </c>
      <c r="U128">
        <v>2</v>
      </c>
      <c r="V128">
        <v>10</v>
      </c>
    </row>
    <row r="129" spans="1:22" x14ac:dyDescent="0.25">
      <c r="A129">
        <v>127</v>
      </c>
      <c r="B129" t="s">
        <v>216</v>
      </c>
      <c r="C129" t="s">
        <v>43</v>
      </c>
      <c r="D129" t="str" cm="1">
        <f t="array" ref="D12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29">
        <v>24</v>
      </c>
      <c r="F12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29" s="2">
        <v>36</v>
      </c>
      <c r="H12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29" t="s">
        <v>59</v>
      </c>
      <c r="J129" t="s">
        <v>217</v>
      </c>
      <c r="K129">
        <v>10</v>
      </c>
      <c r="L129">
        <v>5</v>
      </c>
      <c r="M129">
        <v>0</v>
      </c>
      <c r="N129">
        <v>2</v>
      </c>
      <c r="O129">
        <f>players[[#This Row],[Goals]]+players[[#This Row],[Assists]]</f>
        <v>7</v>
      </c>
      <c r="P129" s="1">
        <f>IF(players[[#This Row],[Matches]]&gt;0,players[[#This Row],[Total Goal Involvement]]/players[[#This Row],[Matches]],0)</f>
        <v>0.7</v>
      </c>
      <c r="Q129" s="3">
        <f>players[[#This Row],[Total Goal Involvement per match]]/players[[#This Row],[Markey Value In Millions(£)]]</f>
        <v>1.9444444444444445E-2</v>
      </c>
      <c r="R129">
        <v>2</v>
      </c>
      <c r="S129">
        <v>0</v>
      </c>
      <c r="T129">
        <v>0</v>
      </c>
      <c r="U129">
        <v>3</v>
      </c>
      <c r="V129">
        <v>5</v>
      </c>
    </row>
    <row r="130" spans="1:22" x14ac:dyDescent="0.25">
      <c r="A130">
        <v>128</v>
      </c>
      <c r="B130" t="s">
        <v>218</v>
      </c>
      <c r="C130" t="s">
        <v>49</v>
      </c>
      <c r="D130" t="str" cm="1">
        <f t="array" ref="D13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30">
        <v>25</v>
      </c>
      <c r="F13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0" s="2">
        <v>36</v>
      </c>
      <c r="H13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0" t="s">
        <v>24</v>
      </c>
      <c r="J130" t="s">
        <v>219</v>
      </c>
      <c r="K130">
        <v>11</v>
      </c>
      <c r="L130">
        <v>1</v>
      </c>
      <c r="M130">
        <v>0</v>
      </c>
      <c r="N130">
        <v>1</v>
      </c>
      <c r="O130">
        <f>players[[#This Row],[Goals]]+players[[#This Row],[Assists]]</f>
        <v>2</v>
      </c>
      <c r="P130" s="1">
        <f>IF(players[[#This Row],[Matches]]&gt;0,players[[#This Row],[Total Goal Involvement]]/players[[#This Row],[Matches]],0)</f>
        <v>0.18181818181818182</v>
      </c>
      <c r="Q130" s="3">
        <f>players[[#This Row],[Total Goal Involvement per match]]/players[[#This Row],[Markey Value In Millions(£)]]</f>
        <v>5.0505050505050509E-3</v>
      </c>
      <c r="R130">
        <v>1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>
        <v>129</v>
      </c>
      <c r="B131" t="s">
        <v>220</v>
      </c>
      <c r="C131" t="s">
        <v>17</v>
      </c>
      <c r="D131" t="str" cm="1">
        <f t="array" ref="D13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31">
        <v>22</v>
      </c>
      <c r="F131" t="str">
        <f>IF(players[[#This Row],[Age]]&gt;34,"Veterans",IF(players[[#This Row],[Age]]&gt;29,"Experienced",IF(players[[#This Row],[Age]]&gt;23,"Career peak",IF(players[[#This Row],[Age]]&gt;19,"Young","Teenagers"))))</f>
        <v>Young</v>
      </c>
      <c r="G131" s="2">
        <v>36</v>
      </c>
      <c r="H13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1" t="s">
        <v>221</v>
      </c>
      <c r="J131" t="s">
        <v>85</v>
      </c>
      <c r="K131">
        <v>13</v>
      </c>
      <c r="L131">
        <v>5</v>
      </c>
      <c r="M131">
        <v>0</v>
      </c>
      <c r="N131">
        <v>1</v>
      </c>
      <c r="O131">
        <f>players[[#This Row],[Goals]]+players[[#This Row],[Assists]]</f>
        <v>6</v>
      </c>
      <c r="P131" s="1">
        <f>IF(players[[#This Row],[Matches]]&gt;0,players[[#This Row],[Total Goal Involvement]]/players[[#This Row],[Matches]],0)</f>
        <v>0.46153846153846156</v>
      </c>
      <c r="Q131" s="3">
        <f>players[[#This Row],[Total Goal Involvement per match]]/players[[#This Row],[Markey Value In Millions(£)]]</f>
        <v>1.2820512820512822E-2</v>
      </c>
      <c r="R131">
        <v>2</v>
      </c>
      <c r="S131">
        <v>0</v>
      </c>
      <c r="T131">
        <v>0</v>
      </c>
      <c r="U131">
        <v>2</v>
      </c>
      <c r="V131">
        <v>11</v>
      </c>
    </row>
    <row r="132" spans="1:22" x14ac:dyDescent="0.25">
      <c r="A132">
        <v>130</v>
      </c>
      <c r="B132" t="s">
        <v>222</v>
      </c>
      <c r="C132" t="s">
        <v>43</v>
      </c>
      <c r="D132" t="str" cm="1">
        <f t="array" ref="D13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32">
        <v>25</v>
      </c>
      <c r="F13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2" s="2">
        <v>36</v>
      </c>
      <c r="H13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2" t="s">
        <v>59</v>
      </c>
      <c r="J132" t="s">
        <v>85</v>
      </c>
      <c r="K132">
        <v>18</v>
      </c>
      <c r="L132">
        <v>3</v>
      </c>
      <c r="M132">
        <v>0</v>
      </c>
      <c r="N132">
        <v>2</v>
      </c>
      <c r="O132">
        <f>players[[#This Row],[Goals]]+players[[#This Row],[Assists]]</f>
        <v>5</v>
      </c>
      <c r="P132" s="1">
        <f>IF(players[[#This Row],[Matches]]&gt;0,players[[#This Row],[Total Goal Involvement]]/players[[#This Row],[Matches]],0)</f>
        <v>0.27777777777777779</v>
      </c>
      <c r="Q132" s="3">
        <f>players[[#This Row],[Total Goal Involvement per match]]/players[[#This Row],[Markey Value In Millions(£)]]</f>
        <v>7.7160493827160498E-3</v>
      </c>
      <c r="R132">
        <v>4</v>
      </c>
      <c r="S132">
        <v>0</v>
      </c>
      <c r="T132">
        <v>0</v>
      </c>
      <c r="U132">
        <v>0</v>
      </c>
      <c r="V132">
        <v>3</v>
      </c>
    </row>
    <row r="133" spans="1:22" x14ac:dyDescent="0.25">
      <c r="A133">
        <v>131</v>
      </c>
      <c r="B133" t="s">
        <v>223</v>
      </c>
      <c r="C133" t="s">
        <v>71</v>
      </c>
      <c r="D133" t="str" cm="1">
        <f t="array" ref="D13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33">
        <v>24</v>
      </c>
      <c r="F13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3" s="2">
        <v>36</v>
      </c>
      <c r="H13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3" t="s">
        <v>24</v>
      </c>
      <c r="J133" t="s">
        <v>107</v>
      </c>
      <c r="K133">
        <v>10</v>
      </c>
      <c r="L133">
        <v>0</v>
      </c>
      <c r="M133">
        <v>0</v>
      </c>
      <c r="N133">
        <v>0</v>
      </c>
      <c r="O133">
        <f>players[[#This Row],[Goals]]+players[[#This Row],[Assists]]</f>
        <v>0</v>
      </c>
      <c r="P133" s="1">
        <f>IF(players[[#This Row],[Matches]]&gt;0,players[[#This Row],[Total Goal Involvement]]/players[[#This Row],[Matches]],0)</f>
        <v>0</v>
      </c>
      <c r="Q133" s="3">
        <f>players[[#This Row],[Total Goal Involvement per match]]/players[[#This Row],[Markey Value In Millions(£)]]</f>
        <v>0</v>
      </c>
      <c r="R133">
        <v>1</v>
      </c>
      <c r="S133">
        <v>0</v>
      </c>
      <c r="T133">
        <v>0</v>
      </c>
      <c r="U133">
        <v>0</v>
      </c>
      <c r="V133">
        <v>1</v>
      </c>
    </row>
    <row r="134" spans="1:22" x14ac:dyDescent="0.25">
      <c r="A134">
        <v>132</v>
      </c>
      <c r="B134" t="s">
        <v>224</v>
      </c>
      <c r="C134" t="s">
        <v>37</v>
      </c>
      <c r="D134" t="str" cm="1">
        <f t="array" ref="D13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34">
        <v>22</v>
      </c>
      <c r="F134" t="str">
        <f>IF(players[[#This Row],[Age]]&gt;34,"Veterans",IF(players[[#This Row],[Age]]&gt;29,"Experienced",IF(players[[#This Row],[Age]]&gt;23,"Career peak",IF(players[[#This Row],[Age]]&gt;19,"Young","Teenagers"))))</f>
        <v>Young</v>
      </c>
      <c r="G134" s="2">
        <v>36</v>
      </c>
      <c r="H13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4" t="s">
        <v>21</v>
      </c>
      <c r="J134" t="s">
        <v>107</v>
      </c>
      <c r="K134">
        <v>10</v>
      </c>
      <c r="L134">
        <v>1</v>
      </c>
      <c r="M134">
        <v>0</v>
      </c>
      <c r="N134">
        <v>1</v>
      </c>
      <c r="O134">
        <f>players[[#This Row],[Goals]]+players[[#This Row],[Assists]]</f>
        <v>2</v>
      </c>
      <c r="P134" s="1">
        <f>IF(players[[#This Row],[Matches]]&gt;0,players[[#This Row],[Total Goal Involvement]]/players[[#This Row],[Matches]],0)</f>
        <v>0.2</v>
      </c>
      <c r="Q134" s="3">
        <f>players[[#This Row],[Total Goal Involvement per match]]/players[[#This Row],[Markey Value In Millions(£)]]</f>
        <v>5.5555555555555558E-3</v>
      </c>
      <c r="R134">
        <v>1</v>
      </c>
      <c r="S134">
        <v>0</v>
      </c>
      <c r="T134">
        <v>0</v>
      </c>
      <c r="U134">
        <v>3</v>
      </c>
      <c r="V134">
        <v>4</v>
      </c>
    </row>
    <row r="135" spans="1:22" x14ac:dyDescent="0.25">
      <c r="A135">
        <v>133</v>
      </c>
      <c r="B135" t="s">
        <v>225</v>
      </c>
      <c r="C135" t="s">
        <v>71</v>
      </c>
      <c r="D135" t="str" cm="1">
        <f t="array" ref="D13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35">
        <v>23</v>
      </c>
      <c r="F135" t="str">
        <f>IF(players[[#This Row],[Age]]&gt;34,"Veterans",IF(players[[#This Row],[Age]]&gt;29,"Experienced",IF(players[[#This Row],[Age]]&gt;23,"Career peak",IF(players[[#This Row],[Age]]&gt;19,"Young","Teenagers"))))</f>
        <v>Young</v>
      </c>
      <c r="G135" s="2">
        <v>36</v>
      </c>
      <c r="H13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5" t="s">
        <v>24</v>
      </c>
      <c r="J135" t="s">
        <v>141</v>
      </c>
      <c r="K135">
        <v>16</v>
      </c>
      <c r="L135">
        <v>0</v>
      </c>
      <c r="M135">
        <v>1</v>
      </c>
      <c r="N135">
        <v>0</v>
      </c>
      <c r="O135">
        <f>players[[#This Row],[Goals]]+players[[#This Row],[Assists]]</f>
        <v>0</v>
      </c>
      <c r="P135" s="1">
        <f>IF(players[[#This Row],[Matches]]&gt;0,players[[#This Row],[Total Goal Involvement]]/players[[#This Row],[Matches]],0)</f>
        <v>0</v>
      </c>
      <c r="Q135" s="3">
        <f>players[[#This Row],[Total Goal Involvement per match]]/players[[#This Row],[Markey Value In Millions(£)]]</f>
        <v>0</v>
      </c>
      <c r="R135">
        <v>4</v>
      </c>
      <c r="S135">
        <v>0</v>
      </c>
      <c r="T135">
        <v>0</v>
      </c>
      <c r="U135">
        <v>1</v>
      </c>
      <c r="V135">
        <v>1</v>
      </c>
    </row>
    <row r="136" spans="1:22" x14ac:dyDescent="0.25">
      <c r="A136">
        <v>134</v>
      </c>
      <c r="B136" t="s">
        <v>226</v>
      </c>
      <c r="C136" t="s">
        <v>71</v>
      </c>
      <c r="D136" t="str" cm="1">
        <f t="array" ref="D13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36">
        <v>26</v>
      </c>
      <c r="F13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6" s="2">
        <v>36</v>
      </c>
      <c r="H13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6" t="s">
        <v>18</v>
      </c>
      <c r="J136" t="s">
        <v>19</v>
      </c>
      <c r="K136">
        <v>17</v>
      </c>
      <c r="L136">
        <v>0</v>
      </c>
      <c r="M136">
        <v>0</v>
      </c>
      <c r="N136">
        <v>0</v>
      </c>
      <c r="O136">
        <f>players[[#This Row],[Goals]]+players[[#This Row],[Assists]]</f>
        <v>0</v>
      </c>
      <c r="P136" s="1">
        <f>IF(players[[#This Row],[Matches]]&gt;0,players[[#This Row],[Total Goal Involvement]]/players[[#This Row],[Matches]],0)</f>
        <v>0</v>
      </c>
      <c r="Q136" s="3">
        <f>players[[#This Row],[Total Goal Involvement per match]]/players[[#This Row],[Markey Value In Millions(£)]]</f>
        <v>0</v>
      </c>
      <c r="R136">
        <v>3</v>
      </c>
      <c r="S136">
        <v>0</v>
      </c>
      <c r="T136">
        <v>0</v>
      </c>
      <c r="U136">
        <v>1</v>
      </c>
      <c r="V136">
        <v>2</v>
      </c>
    </row>
    <row r="137" spans="1:22" x14ac:dyDescent="0.25">
      <c r="A137">
        <v>135</v>
      </c>
      <c r="B137" t="s">
        <v>227</v>
      </c>
      <c r="C137" t="s">
        <v>75</v>
      </c>
      <c r="D137" t="str" cm="1">
        <f t="array" ref="D13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37">
        <v>26</v>
      </c>
      <c r="F13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7" s="2">
        <v>36</v>
      </c>
      <c r="H13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7" t="s">
        <v>62</v>
      </c>
      <c r="J137" t="s">
        <v>65</v>
      </c>
      <c r="K137">
        <v>16</v>
      </c>
      <c r="L137">
        <v>3</v>
      </c>
      <c r="M137">
        <v>0</v>
      </c>
      <c r="N137">
        <v>3</v>
      </c>
      <c r="O137">
        <f>players[[#This Row],[Goals]]+players[[#This Row],[Assists]]</f>
        <v>6</v>
      </c>
      <c r="P137" s="1">
        <f>IF(players[[#This Row],[Matches]]&gt;0,players[[#This Row],[Total Goal Involvement]]/players[[#This Row],[Matches]],0)</f>
        <v>0.375</v>
      </c>
      <c r="Q137" s="3">
        <f>players[[#This Row],[Total Goal Involvement per match]]/players[[#This Row],[Markey Value In Millions(£)]]</f>
        <v>1.0416666666666666E-2</v>
      </c>
      <c r="R137">
        <v>2</v>
      </c>
      <c r="S137">
        <v>0</v>
      </c>
      <c r="T137">
        <v>0</v>
      </c>
      <c r="U137">
        <v>6</v>
      </c>
      <c r="V137">
        <v>7</v>
      </c>
    </row>
    <row r="138" spans="1:22" x14ac:dyDescent="0.25">
      <c r="A138">
        <v>136</v>
      </c>
      <c r="B138" t="s">
        <v>228</v>
      </c>
      <c r="C138" t="s">
        <v>43</v>
      </c>
      <c r="D138" t="str" cm="1">
        <f t="array" ref="D13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38">
        <v>27</v>
      </c>
      <c r="F13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8" s="2">
        <v>36</v>
      </c>
      <c r="H13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8" t="s">
        <v>62</v>
      </c>
      <c r="J138" t="s">
        <v>65</v>
      </c>
      <c r="K138">
        <v>15</v>
      </c>
      <c r="L138">
        <v>0</v>
      </c>
      <c r="M138">
        <v>0</v>
      </c>
      <c r="N138">
        <v>2</v>
      </c>
      <c r="O138">
        <f>players[[#This Row],[Goals]]+players[[#This Row],[Assists]]</f>
        <v>2</v>
      </c>
      <c r="P138" s="1">
        <f>IF(players[[#This Row],[Matches]]&gt;0,players[[#This Row],[Total Goal Involvement]]/players[[#This Row],[Matches]],0)</f>
        <v>0.13333333333333333</v>
      </c>
      <c r="Q138" s="3">
        <f>players[[#This Row],[Total Goal Involvement per match]]/players[[#This Row],[Markey Value In Millions(£)]]</f>
        <v>3.7037037037037038E-3</v>
      </c>
      <c r="R138">
        <v>2</v>
      </c>
      <c r="S138">
        <v>0</v>
      </c>
      <c r="T138">
        <v>0</v>
      </c>
      <c r="U138">
        <v>6</v>
      </c>
      <c r="V138">
        <v>6</v>
      </c>
    </row>
    <row r="139" spans="1:22" x14ac:dyDescent="0.25">
      <c r="A139">
        <v>137</v>
      </c>
      <c r="B139" t="s">
        <v>229</v>
      </c>
      <c r="C139" t="s">
        <v>49</v>
      </c>
      <c r="D139" t="str" cm="1">
        <f t="array" ref="D13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39">
        <v>28</v>
      </c>
      <c r="F13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39" s="2">
        <v>36</v>
      </c>
      <c r="H13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39" t="s">
        <v>230</v>
      </c>
      <c r="J139" t="s">
        <v>107</v>
      </c>
      <c r="K139">
        <v>8</v>
      </c>
      <c r="L139">
        <v>1</v>
      </c>
      <c r="M139">
        <v>0</v>
      </c>
      <c r="N139">
        <v>0</v>
      </c>
      <c r="O139">
        <f>players[[#This Row],[Goals]]+players[[#This Row],[Assists]]</f>
        <v>1</v>
      </c>
      <c r="P139" s="1">
        <f>IF(players[[#This Row],[Matches]]&gt;0,players[[#This Row],[Total Goal Involvement]]/players[[#This Row],[Matches]],0)</f>
        <v>0.125</v>
      </c>
      <c r="Q139" s="3">
        <f>players[[#This Row],[Total Goal Involvement per match]]/players[[#This Row],[Markey Value In Millions(£)]]</f>
        <v>3.472222222222222E-3</v>
      </c>
      <c r="R139">
        <v>2</v>
      </c>
      <c r="S139">
        <v>0</v>
      </c>
      <c r="T139">
        <v>0</v>
      </c>
      <c r="U139">
        <v>1</v>
      </c>
      <c r="V139">
        <v>3</v>
      </c>
    </row>
    <row r="140" spans="1:22" x14ac:dyDescent="0.25">
      <c r="A140">
        <v>138</v>
      </c>
      <c r="B140" t="s">
        <v>231</v>
      </c>
      <c r="C140" t="s">
        <v>37</v>
      </c>
      <c r="D140" t="str" cm="1">
        <f t="array" ref="D14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40">
        <v>26</v>
      </c>
      <c r="F14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0" s="2">
        <v>36</v>
      </c>
      <c r="H14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0" t="s">
        <v>18</v>
      </c>
      <c r="J140" t="s">
        <v>65</v>
      </c>
      <c r="K140">
        <v>9</v>
      </c>
      <c r="L140">
        <v>2</v>
      </c>
      <c r="M140">
        <v>0</v>
      </c>
      <c r="N140">
        <v>2</v>
      </c>
      <c r="O140">
        <f>players[[#This Row],[Goals]]+players[[#This Row],[Assists]]</f>
        <v>4</v>
      </c>
      <c r="P140" s="1">
        <f>IF(players[[#This Row],[Matches]]&gt;0,players[[#This Row],[Total Goal Involvement]]/players[[#This Row],[Matches]],0)</f>
        <v>0.44444444444444442</v>
      </c>
      <c r="Q140" s="3">
        <f>players[[#This Row],[Total Goal Involvement per match]]/players[[#This Row],[Markey Value In Millions(£)]]</f>
        <v>1.2345679012345678E-2</v>
      </c>
      <c r="R140">
        <v>2</v>
      </c>
      <c r="S140">
        <v>0</v>
      </c>
      <c r="T140">
        <v>0</v>
      </c>
      <c r="U140">
        <v>2</v>
      </c>
      <c r="V140">
        <v>6</v>
      </c>
    </row>
    <row r="141" spans="1:22" x14ac:dyDescent="0.25">
      <c r="A141">
        <v>139</v>
      </c>
      <c r="B141" t="s">
        <v>232</v>
      </c>
      <c r="C141" t="s">
        <v>17</v>
      </c>
      <c r="D141" t="str" cm="1">
        <f t="array" ref="D14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41">
        <v>26</v>
      </c>
      <c r="F14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1" s="2">
        <v>36</v>
      </c>
      <c r="H14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1" t="s">
        <v>47</v>
      </c>
      <c r="J141" t="s">
        <v>165</v>
      </c>
      <c r="K141">
        <v>19</v>
      </c>
      <c r="L141">
        <v>5</v>
      </c>
      <c r="M141">
        <v>0</v>
      </c>
      <c r="N141">
        <v>5</v>
      </c>
      <c r="O141">
        <f>players[[#This Row],[Goals]]+players[[#This Row],[Assists]]</f>
        <v>10</v>
      </c>
      <c r="P141" s="1">
        <f>IF(players[[#This Row],[Matches]]&gt;0,players[[#This Row],[Total Goal Involvement]]/players[[#This Row],[Matches]],0)</f>
        <v>0.52631578947368418</v>
      </c>
      <c r="Q141" s="3">
        <f>players[[#This Row],[Total Goal Involvement per match]]/players[[#This Row],[Markey Value In Millions(£)]]</f>
        <v>1.4619883040935672E-2</v>
      </c>
      <c r="R141">
        <v>0</v>
      </c>
      <c r="S141">
        <v>0</v>
      </c>
      <c r="T141">
        <v>0</v>
      </c>
      <c r="U141">
        <v>6</v>
      </c>
      <c r="V141">
        <v>10</v>
      </c>
    </row>
    <row r="142" spans="1:22" x14ac:dyDescent="0.25">
      <c r="A142">
        <v>140</v>
      </c>
      <c r="B142" t="s">
        <v>233</v>
      </c>
      <c r="C142" t="s">
        <v>17</v>
      </c>
      <c r="D142" t="str" cm="1">
        <f t="array" ref="D14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42">
        <v>29</v>
      </c>
      <c r="F14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2" s="2">
        <v>36</v>
      </c>
      <c r="H14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2" t="s">
        <v>59</v>
      </c>
      <c r="J142" t="s">
        <v>155</v>
      </c>
      <c r="K142">
        <v>8</v>
      </c>
      <c r="L142">
        <v>3</v>
      </c>
      <c r="M142">
        <v>0</v>
      </c>
      <c r="N142">
        <v>1</v>
      </c>
      <c r="O142">
        <f>players[[#This Row],[Goals]]+players[[#This Row],[Assists]]</f>
        <v>4</v>
      </c>
      <c r="P142" s="1">
        <f>IF(players[[#This Row],[Matches]]&gt;0,players[[#This Row],[Total Goal Involvement]]/players[[#This Row],[Matches]],0)</f>
        <v>0.5</v>
      </c>
      <c r="Q142" s="3">
        <f>players[[#This Row],[Total Goal Involvement per match]]/players[[#This Row],[Markey Value In Millions(£)]]</f>
        <v>1.3888888888888888E-2</v>
      </c>
      <c r="R142">
        <v>3</v>
      </c>
      <c r="S142">
        <v>0</v>
      </c>
      <c r="T142">
        <v>0</v>
      </c>
      <c r="U142">
        <v>0</v>
      </c>
      <c r="V142">
        <v>1</v>
      </c>
    </row>
    <row r="143" spans="1:22" x14ac:dyDescent="0.25">
      <c r="A143">
        <v>141</v>
      </c>
      <c r="B143" t="s">
        <v>234</v>
      </c>
      <c r="C143" t="s">
        <v>77</v>
      </c>
      <c r="D143" t="str" cm="1">
        <f t="array" ref="D14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43">
        <v>27</v>
      </c>
      <c r="F14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3" s="2">
        <v>36</v>
      </c>
      <c r="H14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3" t="s">
        <v>47</v>
      </c>
      <c r="J143" t="s">
        <v>22</v>
      </c>
      <c r="K143">
        <v>9</v>
      </c>
      <c r="L143">
        <v>3</v>
      </c>
      <c r="M143">
        <v>0</v>
      </c>
      <c r="N143">
        <v>0</v>
      </c>
      <c r="O143">
        <f>players[[#This Row],[Goals]]+players[[#This Row],[Assists]]</f>
        <v>3</v>
      </c>
      <c r="P143" s="1">
        <f>IF(players[[#This Row],[Matches]]&gt;0,players[[#This Row],[Total Goal Involvement]]/players[[#This Row],[Matches]],0)</f>
        <v>0.33333333333333331</v>
      </c>
      <c r="Q143" s="3">
        <f>players[[#This Row],[Total Goal Involvement per match]]/players[[#This Row],[Markey Value In Millions(£)]]</f>
        <v>9.2592592592592587E-3</v>
      </c>
      <c r="R143">
        <v>1</v>
      </c>
      <c r="S143">
        <v>0</v>
      </c>
      <c r="T143">
        <v>0</v>
      </c>
      <c r="U143">
        <v>2</v>
      </c>
      <c r="V143">
        <v>3</v>
      </c>
    </row>
    <row r="144" spans="1:22" x14ac:dyDescent="0.25">
      <c r="A144">
        <v>142</v>
      </c>
      <c r="B144" t="s">
        <v>235</v>
      </c>
      <c r="C144" t="s">
        <v>43</v>
      </c>
      <c r="D144" t="str" cm="1">
        <f t="array" ref="D14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44">
        <v>26</v>
      </c>
      <c r="F14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4" s="2">
        <v>36</v>
      </c>
      <c r="H14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4" t="s">
        <v>236</v>
      </c>
      <c r="J144" t="s">
        <v>25</v>
      </c>
      <c r="K144">
        <v>17</v>
      </c>
      <c r="L144">
        <v>2</v>
      </c>
      <c r="M144">
        <v>0</v>
      </c>
      <c r="N144">
        <v>1</v>
      </c>
      <c r="O144">
        <f>players[[#This Row],[Goals]]+players[[#This Row],[Assists]]</f>
        <v>3</v>
      </c>
      <c r="P144" s="1">
        <f>IF(players[[#This Row],[Matches]]&gt;0,players[[#This Row],[Total Goal Involvement]]/players[[#This Row],[Matches]],0)</f>
        <v>0.17647058823529413</v>
      </c>
      <c r="Q144" s="3">
        <f>players[[#This Row],[Total Goal Involvement per match]]/players[[#This Row],[Markey Value In Millions(£)]]</f>
        <v>4.9019607843137254E-3</v>
      </c>
      <c r="R144">
        <v>0</v>
      </c>
      <c r="S144">
        <v>0</v>
      </c>
      <c r="T144">
        <v>0</v>
      </c>
      <c r="U144">
        <v>4</v>
      </c>
      <c r="V144">
        <v>2</v>
      </c>
    </row>
    <row r="145" spans="1:22" x14ac:dyDescent="0.25">
      <c r="A145">
        <v>143</v>
      </c>
      <c r="B145" t="s">
        <v>237</v>
      </c>
      <c r="C145" t="s">
        <v>49</v>
      </c>
      <c r="D145" t="str" cm="1">
        <f t="array" ref="D14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45">
        <v>29</v>
      </c>
      <c r="F14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5" s="2">
        <v>36</v>
      </c>
      <c r="H14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5" t="s">
        <v>197</v>
      </c>
      <c r="J145" t="s">
        <v>63</v>
      </c>
      <c r="K145">
        <v>16</v>
      </c>
      <c r="L145">
        <v>1</v>
      </c>
      <c r="M145">
        <v>0</v>
      </c>
      <c r="N145">
        <v>2</v>
      </c>
      <c r="O145">
        <f>players[[#This Row],[Goals]]+players[[#This Row],[Assists]]</f>
        <v>3</v>
      </c>
      <c r="P145" s="1">
        <f>IF(players[[#This Row],[Matches]]&gt;0,players[[#This Row],[Total Goal Involvement]]/players[[#This Row],[Matches]],0)</f>
        <v>0.1875</v>
      </c>
      <c r="Q145" s="3">
        <f>players[[#This Row],[Total Goal Involvement per match]]/players[[#This Row],[Markey Value In Millions(£)]]</f>
        <v>5.208333333333333E-3</v>
      </c>
      <c r="R145">
        <v>3</v>
      </c>
      <c r="S145">
        <v>0</v>
      </c>
      <c r="T145">
        <v>0</v>
      </c>
      <c r="U145">
        <v>0</v>
      </c>
      <c r="V145">
        <v>6</v>
      </c>
    </row>
    <row r="146" spans="1:22" x14ac:dyDescent="0.25">
      <c r="A146">
        <v>144</v>
      </c>
      <c r="B146" t="s">
        <v>238</v>
      </c>
      <c r="C146" t="s">
        <v>43</v>
      </c>
      <c r="D146" t="str" cm="1">
        <f t="array" ref="D14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46">
        <v>26</v>
      </c>
      <c r="F14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6" s="2">
        <v>36</v>
      </c>
      <c r="H14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6" t="s">
        <v>59</v>
      </c>
      <c r="J146" t="s">
        <v>35</v>
      </c>
      <c r="K146">
        <v>8</v>
      </c>
      <c r="L146">
        <v>0</v>
      </c>
      <c r="M146">
        <v>0</v>
      </c>
      <c r="N146">
        <v>1</v>
      </c>
      <c r="O146">
        <f>players[[#This Row],[Goals]]+players[[#This Row],[Assists]]</f>
        <v>1</v>
      </c>
      <c r="P146" s="1">
        <f>IF(players[[#This Row],[Matches]]&gt;0,players[[#This Row],[Total Goal Involvement]]/players[[#This Row],[Matches]],0)</f>
        <v>0.125</v>
      </c>
      <c r="Q146" s="3">
        <f>players[[#This Row],[Total Goal Involvement per match]]/players[[#This Row],[Markey Value In Millions(£)]]</f>
        <v>3.472222222222222E-3</v>
      </c>
      <c r="R146">
        <v>0</v>
      </c>
      <c r="S146">
        <v>0</v>
      </c>
      <c r="T146">
        <v>0</v>
      </c>
      <c r="U146">
        <v>3</v>
      </c>
      <c r="V146">
        <v>2</v>
      </c>
    </row>
    <row r="147" spans="1:22" x14ac:dyDescent="0.25">
      <c r="A147">
        <v>145</v>
      </c>
      <c r="B147" t="s">
        <v>239</v>
      </c>
      <c r="C147" t="s">
        <v>27</v>
      </c>
      <c r="D147" t="str" cm="1">
        <f t="array" ref="D14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47">
        <v>28</v>
      </c>
      <c r="F14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7" s="2">
        <v>36</v>
      </c>
      <c r="H14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7" t="s">
        <v>34</v>
      </c>
      <c r="J147" t="s">
        <v>65</v>
      </c>
      <c r="K147">
        <v>16</v>
      </c>
      <c r="L147">
        <v>2</v>
      </c>
      <c r="M147">
        <v>0</v>
      </c>
      <c r="N147">
        <v>2</v>
      </c>
      <c r="O147">
        <f>players[[#This Row],[Goals]]+players[[#This Row],[Assists]]</f>
        <v>4</v>
      </c>
      <c r="P147" s="1">
        <f>IF(players[[#This Row],[Matches]]&gt;0,players[[#This Row],[Total Goal Involvement]]/players[[#This Row],[Matches]],0)</f>
        <v>0.25</v>
      </c>
      <c r="Q147" s="3">
        <f>players[[#This Row],[Total Goal Involvement per match]]/players[[#This Row],[Markey Value In Millions(£)]]</f>
        <v>6.9444444444444441E-3</v>
      </c>
      <c r="R147">
        <v>3</v>
      </c>
      <c r="S147">
        <v>0</v>
      </c>
      <c r="T147">
        <v>0</v>
      </c>
      <c r="U147">
        <v>2</v>
      </c>
      <c r="V147">
        <v>7</v>
      </c>
    </row>
    <row r="148" spans="1:22" x14ac:dyDescent="0.25">
      <c r="A148">
        <v>146</v>
      </c>
      <c r="B148" t="s">
        <v>240</v>
      </c>
      <c r="C148" t="s">
        <v>17</v>
      </c>
      <c r="D148" t="str" cm="1">
        <f t="array" ref="D14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48">
        <v>30</v>
      </c>
      <c r="F148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148" s="2">
        <v>36</v>
      </c>
      <c r="H14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8" t="s">
        <v>39</v>
      </c>
      <c r="J148" t="s">
        <v>32</v>
      </c>
      <c r="K148">
        <v>11</v>
      </c>
      <c r="L148">
        <v>6</v>
      </c>
      <c r="M148">
        <v>0</v>
      </c>
      <c r="N148">
        <v>1</v>
      </c>
      <c r="O148">
        <f>players[[#This Row],[Goals]]+players[[#This Row],[Assists]]</f>
        <v>7</v>
      </c>
      <c r="P148" s="1">
        <f>IF(players[[#This Row],[Matches]]&gt;0,players[[#This Row],[Total Goal Involvement]]/players[[#This Row],[Matches]],0)</f>
        <v>0.63636363636363635</v>
      </c>
      <c r="Q148" s="3">
        <f>players[[#This Row],[Total Goal Involvement per match]]/players[[#This Row],[Markey Value In Millions(£)]]</f>
        <v>1.7676767676767676E-2</v>
      </c>
      <c r="R148">
        <v>0</v>
      </c>
      <c r="S148">
        <v>0</v>
      </c>
      <c r="T148">
        <v>0</v>
      </c>
      <c r="U148">
        <v>6</v>
      </c>
      <c r="V148">
        <v>4</v>
      </c>
    </row>
    <row r="149" spans="1:22" x14ac:dyDescent="0.25">
      <c r="A149">
        <v>147</v>
      </c>
      <c r="B149" t="s">
        <v>241</v>
      </c>
      <c r="C149" t="s">
        <v>43</v>
      </c>
      <c r="D149" t="str" cm="1">
        <f t="array" ref="D14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49">
        <v>29</v>
      </c>
      <c r="F14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49" s="2">
        <v>36</v>
      </c>
      <c r="H14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49" t="s">
        <v>59</v>
      </c>
      <c r="J149" t="s">
        <v>93</v>
      </c>
      <c r="K149">
        <v>16</v>
      </c>
      <c r="L149">
        <v>2</v>
      </c>
      <c r="M149">
        <v>0</v>
      </c>
      <c r="N149">
        <v>4</v>
      </c>
      <c r="O149">
        <f>players[[#This Row],[Goals]]+players[[#This Row],[Assists]]</f>
        <v>6</v>
      </c>
      <c r="P149" s="1">
        <f>IF(players[[#This Row],[Matches]]&gt;0,players[[#This Row],[Total Goal Involvement]]/players[[#This Row],[Matches]],0)</f>
        <v>0.375</v>
      </c>
      <c r="Q149" s="3">
        <f>players[[#This Row],[Total Goal Involvement per match]]/players[[#This Row],[Markey Value In Millions(£)]]</f>
        <v>1.0416666666666666E-2</v>
      </c>
      <c r="R149">
        <v>2</v>
      </c>
      <c r="S149">
        <v>0</v>
      </c>
      <c r="T149">
        <v>0</v>
      </c>
      <c r="U149">
        <v>4</v>
      </c>
      <c r="V149">
        <v>8</v>
      </c>
    </row>
    <row r="150" spans="1:22" x14ac:dyDescent="0.25">
      <c r="A150">
        <v>148</v>
      </c>
      <c r="B150" t="s">
        <v>242</v>
      </c>
      <c r="C150" t="s">
        <v>43</v>
      </c>
      <c r="D150" t="str" cm="1">
        <f t="array" ref="D15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50">
        <v>31</v>
      </c>
      <c r="F150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150" s="2">
        <v>36</v>
      </c>
      <c r="H15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0" t="s">
        <v>50</v>
      </c>
      <c r="J150" t="s">
        <v>28</v>
      </c>
      <c r="K150">
        <v>12</v>
      </c>
      <c r="L150">
        <v>2</v>
      </c>
      <c r="M150">
        <v>0</v>
      </c>
      <c r="N150">
        <v>2</v>
      </c>
      <c r="O150">
        <f>players[[#This Row],[Goals]]+players[[#This Row],[Assists]]</f>
        <v>4</v>
      </c>
      <c r="P150" s="1">
        <f>IF(players[[#This Row],[Matches]]&gt;0,players[[#This Row],[Total Goal Involvement]]/players[[#This Row],[Matches]],0)</f>
        <v>0.33333333333333331</v>
      </c>
      <c r="Q150" s="3">
        <f>players[[#This Row],[Total Goal Involvement per match]]/players[[#This Row],[Markey Value In Millions(£)]]</f>
        <v>9.2592592592592587E-3</v>
      </c>
      <c r="R150">
        <v>1</v>
      </c>
      <c r="S150">
        <v>0</v>
      </c>
      <c r="T150">
        <v>0</v>
      </c>
      <c r="U150">
        <v>2</v>
      </c>
      <c r="V150">
        <v>3</v>
      </c>
    </row>
    <row r="151" spans="1:22" x14ac:dyDescent="0.25">
      <c r="A151">
        <v>149</v>
      </c>
      <c r="B151" t="s">
        <v>243</v>
      </c>
      <c r="C151" t="s">
        <v>49</v>
      </c>
      <c r="D151" t="str" cm="1">
        <f t="array" ref="D15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51">
        <v>23</v>
      </c>
      <c r="F151" t="str">
        <f>IF(players[[#This Row],[Age]]&gt;34,"Veterans",IF(players[[#This Row],[Age]]&gt;29,"Experienced",IF(players[[#This Row],[Age]]&gt;23,"Career peak",IF(players[[#This Row],[Age]]&gt;19,"Young","Teenagers"))))</f>
        <v>Young</v>
      </c>
      <c r="G151" s="2">
        <v>34.200000000000003</v>
      </c>
      <c r="H15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1" t="s">
        <v>207</v>
      </c>
      <c r="J151" t="s">
        <v>141</v>
      </c>
      <c r="K151">
        <v>16</v>
      </c>
      <c r="L151">
        <v>1</v>
      </c>
      <c r="M151">
        <v>0</v>
      </c>
      <c r="N151">
        <v>1</v>
      </c>
      <c r="O151">
        <f>players[[#This Row],[Goals]]+players[[#This Row],[Assists]]</f>
        <v>2</v>
      </c>
      <c r="P151" s="1">
        <f>IF(players[[#This Row],[Matches]]&gt;0,players[[#This Row],[Total Goal Involvement]]/players[[#This Row],[Matches]],0)</f>
        <v>0.125</v>
      </c>
      <c r="Q151" s="3">
        <f>players[[#This Row],[Total Goal Involvement per match]]/players[[#This Row],[Markey Value In Millions(£)]]</f>
        <v>3.6549707602339179E-3</v>
      </c>
      <c r="R151">
        <v>1</v>
      </c>
      <c r="S151">
        <v>0</v>
      </c>
      <c r="T151">
        <v>0</v>
      </c>
      <c r="U151">
        <v>8</v>
      </c>
      <c r="V151">
        <v>4</v>
      </c>
    </row>
    <row r="152" spans="1:22" x14ac:dyDescent="0.25">
      <c r="A152">
        <v>150</v>
      </c>
      <c r="B152" t="s">
        <v>244</v>
      </c>
      <c r="C152" t="s">
        <v>17</v>
      </c>
      <c r="D152" t="str" cm="1">
        <f t="array" ref="D15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52">
        <v>24</v>
      </c>
      <c r="F15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52" s="2">
        <v>34.200000000000003</v>
      </c>
      <c r="H15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2" t="s">
        <v>24</v>
      </c>
      <c r="J152" t="s">
        <v>188</v>
      </c>
      <c r="K152">
        <v>17</v>
      </c>
      <c r="L152">
        <v>5</v>
      </c>
      <c r="M152">
        <v>0</v>
      </c>
      <c r="N152">
        <v>2</v>
      </c>
      <c r="O152">
        <f>players[[#This Row],[Goals]]+players[[#This Row],[Assists]]</f>
        <v>7</v>
      </c>
      <c r="P152" s="1">
        <f>IF(players[[#This Row],[Matches]]&gt;0,players[[#This Row],[Total Goal Involvement]]/players[[#This Row],[Matches]],0)</f>
        <v>0.41176470588235292</v>
      </c>
      <c r="Q152" s="3">
        <f>players[[#This Row],[Total Goal Involvement per match]]/players[[#This Row],[Markey Value In Millions(£)]]</f>
        <v>1.2039903680770552E-2</v>
      </c>
      <c r="R152">
        <v>4</v>
      </c>
      <c r="S152">
        <v>0</v>
      </c>
      <c r="T152">
        <v>0</v>
      </c>
      <c r="U152">
        <v>3</v>
      </c>
      <c r="V152">
        <v>7</v>
      </c>
    </row>
    <row r="153" spans="1:22" x14ac:dyDescent="0.25">
      <c r="A153">
        <v>151</v>
      </c>
      <c r="B153" t="s">
        <v>245</v>
      </c>
      <c r="C153" t="s">
        <v>77</v>
      </c>
      <c r="D153" t="str" cm="1">
        <f t="array" ref="D15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53">
        <v>24</v>
      </c>
      <c r="F15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53" s="2">
        <v>34.200000000000003</v>
      </c>
      <c r="H15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3" t="s">
        <v>24</v>
      </c>
      <c r="J153" t="s">
        <v>35</v>
      </c>
      <c r="K153">
        <v>10</v>
      </c>
      <c r="L153">
        <v>3</v>
      </c>
      <c r="M153">
        <v>0</v>
      </c>
      <c r="N153">
        <v>0</v>
      </c>
      <c r="O153">
        <f>players[[#This Row],[Goals]]+players[[#This Row],[Assists]]</f>
        <v>3</v>
      </c>
      <c r="P153" s="1">
        <f>IF(players[[#This Row],[Matches]]&gt;0,players[[#This Row],[Total Goal Involvement]]/players[[#This Row],[Matches]],0)</f>
        <v>0.3</v>
      </c>
      <c r="Q153" s="3">
        <f>players[[#This Row],[Total Goal Involvement per match]]/players[[#This Row],[Markey Value In Millions(£)]]</f>
        <v>8.771929824561403E-3</v>
      </c>
      <c r="R153">
        <v>0</v>
      </c>
      <c r="S153">
        <v>0</v>
      </c>
      <c r="T153">
        <v>0</v>
      </c>
      <c r="U153">
        <v>3</v>
      </c>
      <c r="V153">
        <v>1</v>
      </c>
    </row>
    <row r="154" spans="1:22" x14ac:dyDescent="0.25">
      <c r="A154">
        <v>152</v>
      </c>
      <c r="B154" t="s">
        <v>246</v>
      </c>
      <c r="C154" t="s">
        <v>37</v>
      </c>
      <c r="D154" t="str" cm="1">
        <f t="array" ref="D15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54">
        <v>28</v>
      </c>
      <c r="F15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54" s="2">
        <v>34.200000000000003</v>
      </c>
      <c r="H15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4" t="s">
        <v>80</v>
      </c>
      <c r="J154" t="s">
        <v>35</v>
      </c>
      <c r="K154">
        <v>10</v>
      </c>
      <c r="L154">
        <v>2</v>
      </c>
      <c r="M154">
        <v>0</v>
      </c>
      <c r="N154">
        <v>1</v>
      </c>
      <c r="O154">
        <f>players[[#This Row],[Goals]]+players[[#This Row],[Assists]]</f>
        <v>3</v>
      </c>
      <c r="P154" s="1">
        <f>IF(players[[#This Row],[Matches]]&gt;0,players[[#This Row],[Total Goal Involvement]]/players[[#This Row],[Matches]],0)</f>
        <v>0.3</v>
      </c>
      <c r="Q154" s="3">
        <f>players[[#This Row],[Total Goal Involvement per match]]/players[[#This Row],[Markey Value In Millions(£)]]</f>
        <v>8.771929824561403E-3</v>
      </c>
      <c r="R154">
        <v>2</v>
      </c>
      <c r="S154">
        <v>0</v>
      </c>
      <c r="T154">
        <v>0</v>
      </c>
      <c r="U154">
        <v>2</v>
      </c>
      <c r="V154">
        <v>7</v>
      </c>
    </row>
    <row r="155" spans="1:22" x14ac:dyDescent="0.25">
      <c r="A155">
        <v>153</v>
      </c>
      <c r="B155" t="s">
        <v>247</v>
      </c>
      <c r="C155" t="s">
        <v>17</v>
      </c>
      <c r="D155" t="str" cm="1">
        <f t="array" ref="D15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55">
        <v>31</v>
      </c>
      <c r="F155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155" s="2">
        <v>34.200000000000003</v>
      </c>
      <c r="H15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5" t="s">
        <v>87</v>
      </c>
      <c r="J155" t="s">
        <v>93</v>
      </c>
      <c r="K155">
        <v>15</v>
      </c>
      <c r="L155">
        <v>11</v>
      </c>
      <c r="M155">
        <v>0</v>
      </c>
      <c r="N155">
        <v>2</v>
      </c>
      <c r="O155">
        <f>players[[#This Row],[Goals]]+players[[#This Row],[Assists]]</f>
        <v>13</v>
      </c>
      <c r="P155" s="1">
        <f>IF(players[[#This Row],[Matches]]&gt;0,players[[#This Row],[Total Goal Involvement]]/players[[#This Row],[Matches]],0)</f>
        <v>0.8666666666666667</v>
      </c>
      <c r="Q155" s="3">
        <f>players[[#This Row],[Total Goal Involvement per match]]/players[[#This Row],[Markey Value In Millions(£)]]</f>
        <v>2.5341130604288498E-2</v>
      </c>
      <c r="R155">
        <v>2</v>
      </c>
      <c r="S155">
        <v>0</v>
      </c>
      <c r="T155">
        <v>0</v>
      </c>
      <c r="U155">
        <v>0</v>
      </c>
      <c r="V155">
        <v>7</v>
      </c>
    </row>
    <row r="156" spans="1:22" x14ac:dyDescent="0.25">
      <c r="A156">
        <v>154</v>
      </c>
      <c r="B156" t="s">
        <v>248</v>
      </c>
      <c r="C156" t="s">
        <v>17</v>
      </c>
      <c r="D156" t="str" cm="1">
        <f t="array" ref="D15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56">
        <v>21</v>
      </c>
      <c r="F156" t="str">
        <f>IF(players[[#This Row],[Age]]&gt;34,"Veterans",IF(players[[#This Row],[Age]]&gt;29,"Experienced",IF(players[[#This Row],[Age]]&gt;23,"Career peak",IF(players[[#This Row],[Age]]&gt;19,"Young","Teenagers"))))</f>
        <v>Young</v>
      </c>
      <c r="G156" s="2">
        <v>31.5</v>
      </c>
      <c r="H15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6" t="s">
        <v>78</v>
      </c>
      <c r="J156" t="s">
        <v>249</v>
      </c>
      <c r="K156">
        <v>18</v>
      </c>
      <c r="L156">
        <v>9</v>
      </c>
      <c r="M156">
        <v>0</v>
      </c>
      <c r="N156">
        <v>0</v>
      </c>
      <c r="O156">
        <f>players[[#This Row],[Goals]]+players[[#This Row],[Assists]]</f>
        <v>9</v>
      </c>
      <c r="P156" s="1">
        <f>IF(players[[#This Row],[Matches]]&gt;0,players[[#This Row],[Total Goal Involvement]]/players[[#This Row],[Matches]],0)</f>
        <v>0.5</v>
      </c>
      <c r="Q156" s="3">
        <f>players[[#This Row],[Total Goal Involvement per match]]/players[[#This Row],[Markey Value In Millions(£)]]</f>
        <v>1.5873015873015872E-2</v>
      </c>
      <c r="R156">
        <v>0</v>
      </c>
      <c r="S156">
        <v>0</v>
      </c>
      <c r="T156">
        <v>0</v>
      </c>
      <c r="U156">
        <v>3</v>
      </c>
      <c r="V156">
        <v>9</v>
      </c>
    </row>
    <row r="157" spans="1:22" x14ac:dyDescent="0.25">
      <c r="A157">
        <v>155</v>
      </c>
      <c r="B157" t="s">
        <v>250</v>
      </c>
      <c r="C157" t="s">
        <v>27</v>
      </c>
      <c r="D157" t="str" cm="1">
        <f t="array" ref="D15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57">
        <v>21</v>
      </c>
      <c r="F157" t="str">
        <f>IF(players[[#This Row],[Age]]&gt;34,"Veterans",IF(players[[#This Row],[Age]]&gt;29,"Experienced",IF(players[[#This Row],[Age]]&gt;23,"Career peak",IF(players[[#This Row],[Age]]&gt;19,"Young","Teenagers"))))</f>
        <v>Young</v>
      </c>
      <c r="G157" s="2">
        <v>31.5</v>
      </c>
      <c r="H15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7" t="s">
        <v>47</v>
      </c>
      <c r="J157" t="s">
        <v>204</v>
      </c>
      <c r="K157">
        <v>0</v>
      </c>
      <c r="L157">
        <v>0</v>
      </c>
      <c r="M157">
        <v>0</v>
      </c>
      <c r="N157">
        <v>0</v>
      </c>
      <c r="O157">
        <f>players[[#This Row],[Goals]]+players[[#This Row],[Assists]]</f>
        <v>0</v>
      </c>
      <c r="P157" s="1">
        <f>IF(players[[#This Row],[Matches]]&gt;0,players[[#This Row],[Total Goal Involvement]]/players[[#This Row],[Matches]],0)</f>
        <v>0</v>
      </c>
      <c r="Q157" s="3">
        <f>players[[#This Row],[Total Goal Involvement per match]]/players[[#This Row],[Markey Value In Millions(£)]]</f>
        <v>0</v>
      </c>
      <c r="R157">
        <v>0</v>
      </c>
      <c r="S157">
        <v>0</v>
      </c>
      <c r="T157">
        <v>0</v>
      </c>
      <c r="U157">
        <v>0</v>
      </c>
      <c r="V157">
        <v>0</v>
      </c>
    </row>
    <row r="158" spans="1:22" x14ac:dyDescent="0.25">
      <c r="A158">
        <v>156</v>
      </c>
      <c r="B158" t="s">
        <v>251</v>
      </c>
      <c r="C158" t="s">
        <v>49</v>
      </c>
      <c r="D158" t="str" cm="1">
        <f t="array" ref="D15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58">
        <v>23</v>
      </c>
      <c r="F158" t="str">
        <f>IF(players[[#This Row],[Age]]&gt;34,"Veterans",IF(players[[#This Row],[Age]]&gt;29,"Experienced",IF(players[[#This Row],[Age]]&gt;23,"Career peak",IF(players[[#This Row],[Age]]&gt;19,"Young","Teenagers"))))</f>
        <v>Young</v>
      </c>
      <c r="G158" s="2">
        <v>31.5</v>
      </c>
      <c r="H15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8" t="s">
        <v>39</v>
      </c>
      <c r="J158" t="s">
        <v>252</v>
      </c>
      <c r="K158">
        <v>8</v>
      </c>
      <c r="L158">
        <v>0</v>
      </c>
      <c r="M158">
        <v>0</v>
      </c>
      <c r="N158">
        <v>2</v>
      </c>
      <c r="O158">
        <f>players[[#This Row],[Goals]]+players[[#This Row],[Assists]]</f>
        <v>2</v>
      </c>
      <c r="P158" s="1">
        <f>IF(players[[#This Row],[Matches]]&gt;0,players[[#This Row],[Total Goal Involvement]]/players[[#This Row],[Matches]],0)</f>
        <v>0.25</v>
      </c>
      <c r="Q158" s="3">
        <f>players[[#This Row],[Total Goal Involvement per match]]/players[[#This Row],[Markey Value In Millions(£)]]</f>
        <v>7.9365079365079361E-3</v>
      </c>
      <c r="R158">
        <v>2</v>
      </c>
      <c r="S158">
        <v>0</v>
      </c>
      <c r="T158">
        <v>0</v>
      </c>
      <c r="U158">
        <v>0</v>
      </c>
      <c r="V158">
        <v>3</v>
      </c>
    </row>
    <row r="159" spans="1:22" x14ac:dyDescent="0.25">
      <c r="A159">
        <v>157</v>
      </c>
      <c r="B159" t="s">
        <v>253</v>
      </c>
      <c r="C159" t="s">
        <v>37</v>
      </c>
      <c r="D159" t="str" cm="1">
        <f t="array" ref="D15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59">
        <v>24</v>
      </c>
      <c r="F15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59" s="2">
        <v>31.5</v>
      </c>
      <c r="H15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59" t="s">
        <v>39</v>
      </c>
      <c r="J159" t="s">
        <v>254</v>
      </c>
      <c r="K159">
        <v>17</v>
      </c>
      <c r="L159">
        <v>6</v>
      </c>
      <c r="M159">
        <v>0</v>
      </c>
      <c r="N159">
        <v>3</v>
      </c>
      <c r="O159">
        <f>players[[#This Row],[Goals]]+players[[#This Row],[Assists]]</f>
        <v>9</v>
      </c>
      <c r="P159" s="1">
        <f>IF(players[[#This Row],[Matches]]&gt;0,players[[#This Row],[Total Goal Involvement]]/players[[#This Row],[Matches]],0)</f>
        <v>0.52941176470588236</v>
      </c>
      <c r="Q159" s="3">
        <f>players[[#This Row],[Total Goal Involvement per match]]/players[[#This Row],[Markey Value In Millions(£)]]</f>
        <v>1.680672268907563E-2</v>
      </c>
      <c r="R159">
        <v>3</v>
      </c>
      <c r="S159">
        <v>0</v>
      </c>
      <c r="T159">
        <v>0</v>
      </c>
      <c r="U159">
        <v>5</v>
      </c>
      <c r="V159">
        <v>4</v>
      </c>
    </row>
    <row r="160" spans="1:22" x14ac:dyDescent="0.25">
      <c r="A160">
        <v>158</v>
      </c>
      <c r="B160" t="s">
        <v>255</v>
      </c>
      <c r="C160" t="s">
        <v>30</v>
      </c>
      <c r="D160" t="str" cm="1">
        <f t="array" ref="D16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60">
        <v>21</v>
      </c>
      <c r="F160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0" s="2">
        <v>31.5</v>
      </c>
      <c r="H16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0" t="s">
        <v>221</v>
      </c>
      <c r="J160" t="s">
        <v>88</v>
      </c>
      <c r="K160">
        <v>15</v>
      </c>
      <c r="L160">
        <v>1</v>
      </c>
      <c r="M160">
        <v>0</v>
      </c>
      <c r="N160">
        <v>1</v>
      </c>
      <c r="O160">
        <f>players[[#This Row],[Goals]]+players[[#This Row],[Assists]]</f>
        <v>2</v>
      </c>
      <c r="P160" s="1">
        <f>IF(players[[#This Row],[Matches]]&gt;0,players[[#This Row],[Total Goal Involvement]]/players[[#This Row],[Matches]],0)</f>
        <v>0.13333333333333333</v>
      </c>
      <c r="Q160" s="3">
        <f>players[[#This Row],[Total Goal Involvement per match]]/players[[#This Row],[Markey Value In Millions(£)]]</f>
        <v>4.2328042328042331E-3</v>
      </c>
      <c r="R160">
        <v>2</v>
      </c>
      <c r="S160">
        <v>0</v>
      </c>
      <c r="T160">
        <v>0</v>
      </c>
      <c r="U160">
        <v>13</v>
      </c>
      <c r="V160">
        <v>1</v>
      </c>
    </row>
    <row r="161" spans="1:22" x14ac:dyDescent="0.25">
      <c r="A161">
        <v>159</v>
      </c>
      <c r="B161" t="s">
        <v>256</v>
      </c>
      <c r="C161" t="s">
        <v>17</v>
      </c>
      <c r="D161" t="str" cm="1">
        <f t="array" ref="D16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61">
        <v>21</v>
      </c>
      <c r="F161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1" s="2">
        <v>31.5</v>
      </c>
      <c r="H16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1" t="s">
        <v>18</v>
      </c>
      <c r="J161" t="s">
        <v>257</v>
      </c>
      <c r="K161">
        <v>17</v>
      </c>
      <c r="L161">
        <v>8</v>
      </c>
      <c r="M161">
        <v>0</v>
      </c>
      <c r="N161">
        <v>6</v>
      </c>
      <c r="O161">
        <f>players[[#This Row],[Goals]]+players[[#This Row],[Assists]]</f>
        <v>14</v>
      </c>
      <c r="P161" s="1">
        <f>IF(players[[#This Row],[Matches]]&gt;0,players[[#This Row],[Total Goal Involvement]]/players[[#This Row],[Matches]],0)</f>
        <v>0.82352941176470584</v>
      </c>
      <c r="Q161" s="3">
        <f>players[[#This Row],[Total Goal Involvement per match]]/players[[#This Row],[Markey Value In Millions(£)]]</f>
        <v>2.61437908496732E-2</v>
      </c>
      <c r="R161">
        <v>1</v>
      </c>
      <c r="S161">
        <v>0</v>
      </c>
      <c r="T161">
        <v>0</v>
      </c>
      <c r="U161">
        <v>1</v>
      </c>
      <c r="V161">
        <v>6</v>
      </c>
    </row>
    <row r="162" spans="1:22" x14ac:dyDescent="0.25">
      <c r="A162">
        <v>160</v>
      </c>
      <c r="B162" t="s">
        <v>258</v>
      </c>
      <c r="C162" t="s">
        <v>49</v>
      </c>
      <c r="D162" t="str" cm="1">
        <f t="array" ref="D16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62">
        <v>21</v>
      </c>
      <c r="F162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2" s="2">
        <v>31.5</v>
      </c>
      <c r="H16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2" t="s">
        <v>18</v>
      </c>
      <c r="J162" t="s">
        <v>259</v>
      </c>
      <c r="K162">
        <v>20</v>
      </c>
      <c r="L162">
        <v>2</v>
      </c>
      <c r="M162">
        <v>0</v>
      </c>
      <c r="N162">
        <v>0</v>
      </c>
      <c r="O162">
        <f>players[[#This Row],[Goals]]+players[[#This Row],[Assists]]</f>
        <v>2</v>
      </c>
      <c r="P162" s="1">
        <f>IF(players[[#This Row],[Matches]]&gt;0,players[[#This Row],[Total Goal Involvement]]/players[[#This Row],[Matches]],0)</f>
        <v>0.1</v>
      </c>
      <c r="Q162" s="3">
        <f>players[[#This Row],[Total Goal Involvement per match]]/players[[#This Row],[Markey Value In Millions(£)]]</f>
        <v>3.1746031746031746E-3</v>
      </c>
      <c r="R162">
        <v>5</v>
      </c>
      <c r="S162">
        <v>0</v>
      </c>
      <c r="T162">
        <v>0</v>
      </c>
      <c r="U162">
        <v>1</v>
      </c>
      <c r="V162">
        <v>4</v>
      </c>
    </row>
    <row r="163" spans="1:22" x14ac:dyDescent="0.25">
      <c r="A163">
        <v>161</v>
      </c>
      <c r="B163" t="s">
        <v>260</v>
      </c>
      <c r="C163" t="s">
        <v>30</v>
      </c>
      <c r="D163" t="str" cm="1">
        <f t="array" ref="D16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63">
        <v>20</v>
      </c>
      <c r="F163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3" s="2">
        <v>31.5</v>
      </c>
      <c r="H16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3" t="s">
        <v>39</v>
      </c>
      <c r="J163" t="s">
        <v>102</v>
      </c>
      <c r="K163">
        <v>14</v>
      </c>
      <c r="L163">
        <v>2</v>
      </c>
      <c r="M163">
        <v>0</v>
      </c>
      <c r="N163">
        <v>1</v>
      </c>
      <c r="O163">
        <f>players[[#This Row],[Goals]]+players[[#This Row],[Assists]]</f>
        <v>3</v>
      </c>
      <c r="P163" s="1">
        <f>IF(players[[#This Row],[Matches]]&gt;0,players[[#This Row],[Total Goal Involvement]]/players[[#This Row],[Matches]],0)</f>
        <v>0.21428571428571427</v>
      </c>
      <c r="Q163" s="3">
        <f>players[[#This Row],[Total Goal Involvement per match]]/players[[#This Row],[Markey Value In Millions(£)]]</f>
        <v>6.8027210884353739E-3</v>
      </c>
      <c r="R163">
        <v>2</v>
      </c>
      <c r="S163">
        <v>0</v>
      </c>
      <c r="T163">
        <v>0</v>
      </c>
      <c r="U163">
        <v>9</v>
      </c>
      <c r="V163">
        <v>5</v>
      </c>
    </row>
    <row r="164" spans="1:22" x14ac:dyDescent="0.25">
      <c r="A164">
        <v>162</v>
      </c>
      <c r="B164" t="s">
        <v>261</v>
      </c>
      <c r="C164" t="s">
        <v>106</v>
      </c>
      <c r="D164" t="str" cm="1">
        <f t="array" ref="D16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64">
        <v>23</v>
      </c>
      <c r="F164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4" s="2">
        <v>31.5</v>
      </c>
      <c r="H16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4" t="s">
        <v>24</v>
      </c>
      <c r="J164" t="s">
        <v>124</v>
      </c>
      <c r="K164">
        <v>13</v>
      </c>
      <c r="L164">
        <v>3</v>
      </c>
      <c r="M164">
        <v>0</v>
      </c>
      <c r="N164">
        <v>2</v>
      </c>
      <c r="O164">
        <f>players[[#This Row],[Goals]]+players[[#This Row],[Assists]]</f>
        <v>5</v>
      </c>
      <c r="P164" s="1">
        <f>IF(players[[#This Row],[Matches]]&gt;0,players[[#This Row],[Total Goal Involvement]]/players[[#This Row],[Matches]],0)</f>
        <v>0.38461538461538464</v>
      </c>
      <c r="Q164" s="3">
        <f>players[[#This Row],[Total Goal Involvement per match]]/players[[#This Row],[Markey Value In Millions(£)]]</f>
        <v>1.221001221001221E-2</v>
      </c>
      <c r="R164">
        <v>2</v>
      </c>
      <c r="S164">
        <v>0</v>
      </c>
      <c r="T164">
        <v>0</v>
      </c>
      <c r="U164">
        <v>2</v>
      </c>
      <c r="V164">
        <v>6</v>
      </c>
    </row>
    <row r="165" spans="1:22" x14ac:dyDescent="0.25">
      <c r="A165">
        <v>163</v>
      </c>
      <c r="B165" t="s">
        <v>262</v>
      </c>
      <c r="C165" t="s">
        <v>43</v>
      </c>
      <c r="D165" t="str" cm="1">
        <f t="array" ref="D16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65">
        <v>23</v>
      </c>
      <c r="F165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5" s="2">
        <v>31.5</v>
      </c>
      <c r="H16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5" t="s">
        <v>18</v>
      </c>
      <c r="J165" t="s">
        <v>254</v>
      </c>
      <c r="K165">
        <v>17</v>
      </c>
      <c r="L165">
        <v>5</v>
      </c>
      <c r="M165">
        <v>0</v>
      </c>
      <c r="N165">
        <v>2</v>
      </c>
      <c r="O165">
        <f>players[[#This Row],[Goals]]+players[[#This Row],[Assists]]</f>
        <v>7</v>
      </c>
      <c r="P165" s="1">
        <f>IF(players[[#This Row],[Matches]]&gt;0,players[[#This Row],[Total Goal Involvement]]/players[[#This Row],[Matches]],0)</f>
        <v>0.41176470588235292</v>
      </c>
      <c r="Q165" s="3">
        <f>players[[#This Row],[Total Goal Involvement per match]]/players[[#This Row],[Markey Value In Millions(£)]]</f>
        <v>1.30718954248366E-2</v>
      </c>
      <c r="R165">
        <v>0</v>
      </c>
      <c r="S165">
        <v>0</v>
      </c>
      <c r="T165">
        <v>0</v>
      </c>
      <c r="U165">
        <v>1</v>
      </c>
      <c r="V165">
        <v>6</v>
      </c>
    </row>
    <row r="166" spans="1:22" x14ac:dyDescent="0.25">
      <c r="A166">
        <v>164</v>
      </c>
      <c r="B166" t="s">
        <v>263</v>
      </c>
      <c r="C166" t="s">
        <v>27</v>
      </c>
      <c r="D166" t="str" cm="1">
        <f t="array" ref="D16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66">
        <v>24</v>
      </c>
      <c r="F16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66" s="2">
        <v>31.5</v>
      </c>
      <c r="H16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6" t="s">
        <v>264</v>
      </c>
      <c r="J166" t="s">
        <v>252</v>
      </c>
      <c r="K166">
        <v>6</v>
      </c>
      <c r="L166">
        <v>1</v>
      </c>
      <c r="M166">
        <v>0</v>
      </c>
      <c r="N166">
        <v>2</v>
      </c>
      <c r="O166">
        <f>players[[#This Row],[Goals]]+players[[#This Row],[Assists]]</f>
        <v>3</v>
      </c>
      <c r="P166" s="1">
        <f>IF(players[[#This Row],[Matches]]&gt;0,players[[#This Row],[Total Goal Involvement]]/players[[#This Row],[Matches]],0)</f>
        <v>0.5</v>
      </c>
      <c r="Q166" s="3">
        <f>players[[#This Row],[Total Goal Involvement per match]]/players[[#This Row],[Markey Value In Millions(£)]]</f>
        <v>1.5873015873015872E-2</v>
      </c>
      <c r="R166">
        <v>1</v>
      </c>
      <c r="S166">
        <v>0</v>
      </c>
      <c r="T166">
        <v>0</v>
      </c>
      <c r="U166">
        <v>4</v>
      </c>
      <c r="V166">
        <v>2</v>
      </c>
    </row>
    <row r="167" spans="1:22" x14ac:dyDescent="0.25">
      <c r="A167">
        <v>165</v>
      </c>
      <c r="B167" t="s">
        <v>265</v>
      </c>
      <c r="C167" t="s">
        <v>17</v>
      </c>
      <c r="D167" t="str" cm="1">
        <f t="array" ref="D16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67">
        <v>21</v>
      </c>
      <c r="F167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7" s="2">
        <v>31.5</v>
      </c>
      <c r="H16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7" t="s">
        <v>87</v>
      </c>
      <c r="J167" t="s">
        <v>88</v>
      </c>
      <c r="K167">
        <v>11</v>
      </c>
      <c r="L167">
        <v>2</v>
      </c>
      <c r="M167">
        <v>0</v>
      </c>
      <c r="N167">
        <v>0</v>
      </c>
      <c r="O167">
        <f>players[[#This Row],[Goals]]+players[[#This Row],[Assists]]</f>
        <v>2</v>
      </c>
      <c r="P167" s="1">
        <f>IF(players[[#This Row],[Matches]]&gt;0,players[[#This Row],[Total Goal Involvement]]/players[[#This Row],[Matches]],0)</f>
        <v>0.18181818181818182</v>
      </c>
      <c r="Q167" s="3">
        <f>players[[#This Row],[Total Goal Involvement per match]]/players[[#This Row],[Markey Value In Millions(£)]]</f>
        <v>5.772005772005772E-3</v>
      </c>
      <c r="R167">
        <v>1</v>
      </c>
      <c r="S167">
        <v>0</v>
      </c>
      <c r="T167">
        <v>1</v>
      </c>
      <c r="U167">
        <v>7</v>
      </c>
      <c r="V167">
        <v>3</v>
      </c>
    </row>
    <row r="168" spans="1:22" x14ac:dyDescent="0.25">
      <c r="A168">
        <v>166</v>
      </c>
      <c r="B168" t="s">
        <v>266</v>
      </c>
      <c r="C168" t="s">
        <v>43</v>
      </c>
      <c r="D168" t="str" cm="1">
        <f t="array" ref="D16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68">
        <v>25</v>
      </c>
      <c r="F16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68" s="2">
        <v>31.5</v>
      </c>
      <c r="H16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8" t="s">
        <v>39</v>
      </c>
      <c r="J168" t="s">
        <v>88</v>
      </c>
      <c r="K168">
        <v>6</v>
      </c>
      <c r="L168">
        <v>0</v>
      </c>
      <c r="M168">
        <v>0</v>
      </c>
      <c r="N168">
        <v>0</v>
      </c>
      <c r="O168">
        <f>players[[#This Row],[Goals]]+players[[#This Row],[Assists]]</f>
        <v>0</v>
      </c>
      <c r="P168" s="1">
        <f>IF(players[[#This Row],[Matches]]&gt;0,players[[#This Row],[Total Goal Involvement]]/players[[#This Row],[Matches]],0)</f>
        <v>0</v>
      </c>
      <c r="Q168" s="3">
        <f>players[[#This Row],[Total Goal Involvement per match]]/players[[#This Row],[Markey Value In Millions(£)]]</f>
        <v>0</v>
      </c>
      <c r="R168">
        <v>2</v>
      </c>
      <c r="S168">
        <v>0</v>
      </c>
      <c r="T168">
        <v>0</v>
      </c>
      <c r="U168">
        <v>5</v>
      </c>
      <c r="V168">
        <v>1</v>
      </c>
    </row>
    <row r="169" spans="1:22" x14ac:dyDescent="0.25">
      <c r="A169">
        <v>167</v>
      </c>
      <c r="B169" t="s">
        <v>267</v>
      </c>
      <c r="C169" t="s">
        <v>71</v>
      </c>
      <c r="D169" t="str" cm="1">
        <f t="array" ref="D16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69">
        <v>22</v>
      </c>
      <c r="F169" t="str">
        <f>IF(players[[#This Row],[Age]]&gt;34,"Veterans",IF(players[[#This Row],[Age]]&gt;29,"Experienced",IF(players[[#This Row],[Age]]&gt;23,"Career peak",IF(players[[#This Row],[Age]]&gt;19,"Young","Teenagers"))))</f>
        <v>Young</v>
      </c>
      <c r="G169" s="2">
        <v>31.5</v>
      </c>
      <c r="H16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69" t="s">
        <v>18</v>
      </c>
      <c r="J169" t="s">
        <v>32</v>
      </c>
      <c r="K169">
        <v>4</v>
      </c>
      <c r="L169">
        <v>0</v>
      </c>
      <c r="M169">
        <v>0</v>
      </c>
      <c r="N169">
        <v>0</v>
      </c>
      <c r="O169">
        <f>players[[#This Row],[Goals]]+players[[#This Row],[Assists]]</f>
        <v>0</v>
      </c>
      <c r="P169" s="1">
        <f>IF(players[[#This Row],[Matches]]&gt;0,players[[#This Row],[Total Goal Involvement]]/players[[#This Row],[Matches]],0)</f>
        <v>0</v>
      </c>
      <c r="Q169" s="3">
        <f>players[[#This Row],[Total Goal Involvement per match]]/players[[#This Row],[Markey Value In Millions(£)]]</f>
        <v>0</v>
      </c>
      <c r="R169">
        <v>0</v>
      </c>
      <c r="S169">
        <v>0</v>
      </c>
      <c r="T169">
        <v>0</v>
      </c>
      <c r="U169">
        <v>0</v>
      </c>
      <c r="V169">
        <v>0</v>
      </c>
    </row>
    <row r="170" spans="1:22" x14ac:dyDescent="0.25">
      <c r="A170">
        <v>168</v>
      </c>
      <c r="B170" t="s">
        <v>268</v>
      </c>
      <c r="C170" t="s">
        <v>71</v>
      </c>
      <c r="D170" t="str" cm="1">
        <f t="array" ref="D17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70">
        <v>23</v>
      </c>
      <c r="F170" t="str">
        <f>IF(players[[#This Row],[Age]]&gt;34,"Veterans",IF(players[[#This Row],[Age]]&gt;29,"Experienced",IF(players[[#This Row],[Age]]&gt;23,"Career peak",IF(players[[#This Row],[Age]]&gt;19,"Young","Teenagers"))))</f>
        <v>Young</v>
      </c>
      <c r="G170" s="2">
        <v>31.5</v>
      </c>
      <c r="H17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0" t="s">
        <v>62</v>
      </c>
      <c r="J170" t="s">
        <v>25</v>
      </c>
      <c r="K170">
        <v>13</v>
      </c>
      <c r="L170">
        <v>0</v>
      </c>
      <c r="M170">
        <v>0</v>
      </c>
      <c r="N170">
        <v>0</v>
      </c>
      <c r="O170">
        <f>players[[#This Row],[Goals]]+players[[#This Row],[Assists]]</f>
        <v>0</v>
      </c>
      <c r="P170" s="1">
        <f>IF(players[[#This Row],[Matches]]&gt;0,players[[#This Row],[Total Goal Involvement]]/players[[#This Row],[Matches]],0)</f>
        <v>0</v>
      </c>
      <c r="Q170" s="3">
        <f>players[[#This Row],[Total Goal Involvement per match]]/players[[#This Row],[Markey Value In Millions(£)]]</f>
        <v>0</v>
      </c>
      <c r="R170">
        <v>5</v>
      </c>
      <c r="S170">
        <v>1</v>
      </c>
      <c r="T170">
        <v>0</v>
      </c>
      <c r="U170">
        <v>1</v>
      </c>
      <c r="V170">
        <v>1</v>
      </c>
    </row>
    <row r="171" spans="1:22" x14ac:dyDescent="0.25">
      <c r="A171">
        <v>169</v>
      </c>
      <c r="B171" t="s">
        <v>269</v>
      </c>
      <c r="C171" t="s">
        <v>69</v>
      </c>
      <c r="D171" t="str" cm="1">
        <f t="array" ref="D17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71">
        <v>25</v>
      </c>
      <c r="F17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1" s="2">
        <v>31.5</v>
      </c>
      <c r="H17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1" t="s">
        <v>18</v>
      </c>
      <c r="J171" t="s">
        <v>51</v>
      </c>
      <c r="K171">
        <v>9</v>
      </c>
      <c r="L171">
        <v>0</v>
      </c>
      <c r="M171">
        <v>0</v>
      </c>
      <c r="N171">
        <v>1</v>
      </c>
      <c r="O171">
        <f>players[[#This Row],[Goals]]+players[[#This Row],[Assists]]</f>
        <v>1</v>
      </c>
      <c r="P171" s="1">
        <f>IF(players[[#This Row],[Matches]]&gt;0,players[[#This Row],[Total Goal Involvement]]/players[[#This Row],[Matches]],0)</f>
        <v>0.1111111111111111</v>
      </c>
      <c r="Q171" s="3">
        <f>players[[#This Row],[Total Goal Involvement per match]]/players[[#This Row],[Markey Value In Millions(£)]]</f>
        <v>3.5273368606701938E-3</v>
      </c>
      <c r="R171">
        <v>0</v>
      </c>
      <c r="S171">
        <v>0</v>
      </c>
      <c r="T171">
        <v>1</v>
      </c>
      <c r="U171">
        <v>2</v>
      </c>
      <c r="V171">
        <v>3</v>
      </c>
    </row>
    <row r="172" spans="1:22" x14ac:dyDescent="0.25">
      <c r="A172">
        <v>170</v>
      </c>
      <c r="B172" t="s">
        <v>270</v>
      </c>
      <c r="C172" t="s">
        <v>30</v>
      </c>
      <c r="D172" t="str" cm="1">
        <f t="array" ref="D17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72">
        <v>26</v>
      </c>
      <c r="F17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2" s="2">
        <v>31.5</v>
      </c>
      <c r="H17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2" t="s">
        <v>140</v>
      </c>
      <c r="J172" t="s">
        <v>107</v>
      </c>
      <c r="K172">
        <v>9</v>
      </c>
      <c r="L172">
        <v>1</v>
      </c>
      <c r="M172">
        <v>0</v>
      </c>
      <c r="N172">
        <v>3</v>
      </c>
      <c r="O172">
        <f>players[[#This Row],[Goals]]+players[[#This Row],[Assists]]</f>
        <v>4</v>
      </c>
      <c r="P172" s="1">
        <f>IF(players[[#This Row],[Matches]]&gt;0,players[[#This Row],[Total Goal Involvement]]/players[[#This Row],[Matches]],0)</f>
        <v>0.44444444444444442</v>
      </c>
      <c r="Q172" s="3">
        <f>players[[#This Row],[Total Goal Involvement per match]]/players[[#This Row],[Markey Value In Millions(£)]]</f>
        <v>1.4109347442680775E-2</v>
      </c>
      <c r="R172">
        <v>0</v>
      </c>
      <c r="S172">
        <v>0</v>
      </c>
      <c r="T172">
        <v>0</v>
      </c>
      <c r="U172">
        <v>2</v>
      </c>
      <c r="V172">
        <v>0</v>
      </c>
    </row>
    <row r="173" spans="1:22" x14ac:dyDescent="0.25">
      <c r="A173">
        <v>171</v>
      </c>
      <c r="B173" t="s">
        <v>271</v>
      </c>
      <c r="C173" t="s">
        <v>30</v>
      </c>
      <c r="D173" t="str" cm="1">
        <f t="array" ref="D17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73">
        <v>24</v>
      </c>
      <c r="F17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3" s="2">
        <v>31.5</v>
      </c>
      <c r="H17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3" t="s">
        <v>62</v>
      </c>
      <c r="J173" t="s">
        <v>252</v>
      </c>
      <c r="K173">
        <v>10</v>
      </c>
      <c r="L173">
        <v>1</v>
      </c>
      <c r="M173">
        <v>0</v>
      </c>
      <c r="N173">
        <v>1</v>
      </c>
      <c r="O173">
        <f>players[[#This Row],[Goals]]+players[[#This Row],[Assists]]</f>
        <v>2</v>
      </c>
      <c r="P173" s="1">
        <f>IF(players[[#This Row],[Matches]]&gt;0,players[[#This Row],[Total Goal Involvement]]/players[[#This Row],[Matches]],0)</f>
        <v>0.2</v>
      </c>
      <c r="Q173" s="3">
        <f>players[[#This Row],[Total Goal Involvement per match]]/players[[#This Row],[Markey Value In Millions(£)]]</f>
        <v>6.3492063492063492E-3</v>
      </c>
      <c r="R173">
        <v>1</v>
      </c>
      <c r="S173">
        <v>0</v>
      </c>
      <c r="T173">
        <v>0</v>
      </c>
      <c r="U173">
        <v>2</v>
      </c>
      <c r="V173">
        <v>6</v>
      </c>
    </row>
    <row r="174" spans="1:22" x14ac:dyDescent="0.25">
      <c r="A174">
        <v>172</v>
      </c>
      <c r="B174" t="s">
        <v>272</v>
      </c>
      <c r="C174" t="s">
        <v>49</v>
      </c>
      <c r="D174" t="str" cm="1">
        <f t="array" ref="D17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74">
        <v>24</v>
      </c>
      <c r="F17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4" s="2">
        <v>31.5</v>
      </c>
      <c r="H17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4" t="s">
        <v>113</v>
      </c>
      <c r="J174" t="s">
        <v>41</v>
      </c>
      <c r="K174">
        <v>12</v>
      </c>
      <c r="L174">
        <v>0</v>
      </c>
      <c r="M174">
        <v>0</v>
      </c>
      <c r="N174">
        <v>0</v>
      </c>
      <c r="O174">
        <f>players[[#This Row],[Goals]]+players[[#This Row],[Assists]]</f>
        <v>0</v>
      </c>
      <c r="P174" s="1">
        <f>IF(players[[#This Row],[Matches]]&gt;0,players[[#This Row],[Total Goal Involvement]]/players[[#This Row],[Matches]],0)</f>
        <v>0</v>
      </c>
      <c r="Q174" s="3">
        <f>players[[#This Row],[Total Goal Involvement per match]]/players[[#This Row],[Markey Value In Millions(£)]]</f>
        <v>0</v>
      </c>
      <c r="R174">
        <v>1</v>
      </c>
      <c r="S174">
        <v>0</v>
      </c>
      <c r="T174">
        <v>0</v>
      </c>
      <c r="U174">
        <v>2</v>
      </c>
      <c r="V174">
        <v>4</v>
      </c>
    </row>
    <row r="175" spans="1:22" x14ac:dyDescent="0.25">
      <c r="A175">
        <v>173</v>
      </c>
      <c r="B175" t="s">
        <v>273</v>
      </c>
      <c r="C175" t="s">
        <v>30</v>
      </c>
      <c r="D175" t="str" cm="1">
        <f t="array" ref="D17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75">
        <v>25</v>
      </c>
      <c r="F17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5" s="2">
        <v>31.5</v>
      </c>
      <c r="H17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5" t="s">
        <v>59</v>
      </c>
      <c r="J175" t="s">
        <v>102</v>
      </c>
      <c r="K175">
        <v>13</v>
      </c>
      <c r="L175">
        <v>3</v>
      </c>
      <c r="M175">
        <v>0</v>
      </c>
      <c r="N175">
        <v>1</v>
      </c>
      <c r="O175">
        <f>players[[#This Row],[Goals]]+players[[#This Row],[Assists]]</f>
        <v>4</v>
      </c>
      <c r="P175" s="1">
        <f>IF(players[[#This Row],[Matches]]&gt;0,players[[#This Row],[Total Goal Involvement]]/players[[#This Row],[Matches]],0)</f>
        <v>0.30769230769230771</v>
      </c>
      <c r="Q175" s="3">
        <f>players[[#This Row],[Total Goal Involvement per match]]/players[[#This Row],[Markey Value In Millions(£)]]</f>
        <v>9.768009768009768E-3</v>
      </c>
      <c r="R175">
        <v>0</v>
      </c>
      <c r="S175">
        <v>0</v>
      </c>
      <c r="T175">
        <v>0</v>
      </c>
      <c r="U175">
        <v>8</v>
      </c>
      <c r="V175">
        <v>5</v>
      </c>
    </row>
    <row r="176" spans="1:22" x14ac:dyDescent="0.25">
      <c r="A176">
        <v>174</v>
      </c>
      <c r="B176" t="s">
        <v>274</v>
      </c>
      <c r="C176" t="s">
        <v>71</v>
      </c>
      <c r="D176" t="str" cm="1">
        <f t="array" ref="D17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76">
        <v>26</v>
      </c>
      <c r="F17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6" s="2">
        <v>31.5</v>
      </c>
      <c r="H17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6" t="s">
        <v>59</v>
      </c>
      <c r="J176" t="s">
        <v>65</v>
      </c>
      <c r="K176">
        <v>15</v>
      </c>
      <c r="L176">
        <v>0</v>
      </c>
      <c r="M176">
        <v>0</v>
      </c>
      <c r="N176">
        <v>1</v>
      </c>
      <c r="O176">
        <f>players[[#This Row],[Goals]]+players[[#This Row],[Assists]]</f>
        <v>1</v>
      </c>
      <c r="P176" s="1">
        <f>IF(players[[#This Row],[Matches]]&gt;0,players[[#This Row],[Total Goal Involvement]]/players[[#This Row],[Matches]],0)</f>
        <v>6.6666666666666666E-2</v>
      </c>
      <c r="Q176" s="3">
        <f>players[[#This Row],[Total Goal Involvement per match]]/players[[#This Row],[Markey Value In Millions(£)]]</f>
        <v>2.1164021164021165E-3</v>
      </c>
      <c r="R176">
        <v>4</v>
      </c>
      <c r="S176">
        <v>0</v>
      </c>
      <c r="T176">
        <v>1</v>
      </c>
      <c r="U176">
        <v>1</v>
      </c>
      <c r="V176">
        <v>9</v>
      </c>
    </row>
    <row r="177" spans="1:22" x14ac:dyDescent="0.25">
      <c r="A177">
        <v>175</v>
      </c>
      <c r="B177" t="s">
        <v>275</v>
      </c>
      <c r="C177" t="s">
        <v>77</v>
      </c>
      <c r="D177" t="str" cm="1">
        <f t="array" ref="D17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77">
        <v>24</v>
      </c>
      <c r="F17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7" s="2">
        <v>31.5</v>
      </c>
      <c r="H17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7" t="s">
        <v>59</v>
      </c>
      <c r="J177" t="s">
        <v>165</v>
      </c>
      <c r="K177">
        <v>13</v>
      </c>
      <c r="L177">
        <v>0</v>
      </c>
      <c r="M177">
        <v>0</v>
      </c>
      <c r="N177">
        <v>4</v>
      </c>
      <c r="O177">
        <f>players[[#This Row],[Goals]]+players[[#This Row],[Assists]]</f>
        <v>4</v>
      </c>
      <c r="P177" s="1">
        <f>IF(players[[#This Row],[Matches]]&gt;0,players[[#This Row],[Total Goal Involvement]]/players[[#This Row],[Matches]],0)</f>
        <v>0.30769230769230771</v>
      </c>
      <c r="Q177" s="3">
        <f>players[[#This Row],[Total Goal Involvement per match]]/players[[#This Row],[Markey Value In Millions(£)]]</f>
        <v>9.768009768009768E-3</v>
      </c>
      <c r="R177">
        <v>2</v>
      </c>
      <c r="S177">
        <v>1</v>
      </c>
      <c r="T177">
        <v>0</v>
      </c>
      <c r="U177">
        <v>1</v>
      </c>
      <c r="V177">
        <v>3</v>
      </c>
    </row>
    <row r="178" spans="1:22" x14ac:dyDescent="0.25">
      <c r="A178">
        <v>176</v>
      </c>
      <c r="B178" t="s">
        <v>276</v>
      </c>
      <c r="C178" t="s">
        <v>106</v>
      </c>
      <c r="D178" t="str" cm="1">
        <f t="array" ref="D17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78">
        <v>27</v>
      </c>
      <c r="F17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78" s="2">
        <v>31.5</v>
      </c>
      <c r="H17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8" t="s">
        <v>50</v>
      </c>
      <c r="J178" t="s">
        <v>277</v>
      </c>
      <c r="K178">
        <v>8</v>
      </c>
      <c r="L178">
        <v>2</v>
      </c>
      <c r="M178">
        <v>0</v>
      </c>
      <c r="N178">
        <v>1</v>
      </c>
      <c r="O178">
        <f>players[[#This Row],[Goals]]+players[[#This Row],[Assists]]</f>
        <v>3</v>
      </c>
      <c r="P178" s="1">
        <f>IF(players[[#This Row],[Matches]]&gt;0,players[[#This Row],[Total Goal Involvement]]/players[[#This Row],[Matches]],0)</f>
        <v>0.375</v>
      </c>
      <c r="Q178" s="3">
        <f>players[[#This Row],[Total Goal Involvement per match]]/players[[#This Row],[Markey Value In Millions(£)]]</f>
        <v>1.1904761904761904E-2</v>
      </c>
      <c r="R178">
        <v>2</v>
      </c>
      <c r="S178">
        <v>0</v>
      </c>
      <c r="T178">
        <v>0</v>
      </c>
      <c r="U178">
        <v>1</v>
      </c>
      <c r="V178">
        <v>4</v>
      </c>
    </row>
    <row r="179" spans="1:22" x14ac:dyDescent="0.25">
      <c r="A179">
        <v>177</v>
      </c>
      <c r="B179" t="s">
        <v>278</v>
      </c>
      <c r="C179" t="s">
        <v>49</v>
      </c>
      <c r="D179" t="str" cm="1">
        <f t="array" ref="D17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79">
        <v>23</v>
      </c>
      <c r="F179" t="str">
        <f>IF(players[[#This Row],[Age]]&gt;34,"Veterans",IF(players[[#This Row],[Age]]&gt;29,"Experienced",IF(players[[#This Row],[Age]]&gt;23,"Career peak",IF(players[[#This Row],[Age]]&gt;19,"Young","Teenagers"))))</f>
        <v>Young</v>
      </c>
      <c r="G179" s="2">
        <v>31.5</v>
      </c>
      <c r="H17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79" t="s">
        <v>87</v>
      </c>
      <c r="J179" t="s">
        <v>88</v>
      </c>
      <c r="K179">
        <v>16</v>
      </c>
      <c r="L179">
        <v>2</v>
      </c>
      <c r="M179">
        <v>0</v>
      </c>
      <c r="N179">
        <v>2</v>
      </c>
      <c r="O179">
        <f>players[[#This Row],[Goals]]+players[[#This Row],[Assists]]</f>
        <v>4</v>
      </c>
      <c r="P179" s="1">
        <f>IF(players[[#This Row],[Matches]]&gt;0,players[[#This Row],[Total Goal Involvement]]/players[[#This Row],[Matches]],0)</f>
        <v>0.25</v>
      </c>
      <c r="Q179" s="3">
        <f>players[[#This Row],[Total Goal Involvement per match]]/players[[#This Row],[Markey Value In Millions(£)]]</f>
        <v>7.9365079365079361E-3</v>
      </c>
      <c r="R179">
        <v>2</v>
      </c>
      <c r="S179">
        <v>0</v>
      </c>
      <c r="T179">
        <v>0</v>
      </c>
      <c r="U179">
        <v>4</v>
      </c>
      <c r="V179">
        <v>4</v>
      </c>
    </row>
    <row r="180" spans="1:22" x14ac:dyDescent="0.25">
      <c r="A180">
        <v>178</v>
      </c>
      <c r="B180" t="s">
        <v>279</v>
      </c>
      <c r="C180" t="s">
        <v>77</v>
      </c>
      <c r="D180" t="str" cm="1">
        <f t="array" ref="D18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80">
        <v>26</v>
      </c>
      <c r="F18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0" s="2">
        <v>31.5</v>
      </c>
      <c r="H18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0" t="s">
        <v>59</v>
      </c>
      <c r="J180" t="s">
        <v>217</v>
      </c>
      <c r="K180">
        <v>9</v>
      </c>
      <c r="L180">
        <v>2</v>
      </c>
      <c r="M180">
        <v>0</v>
      </c>
      <c r="N180">
        <v>2</v>
      </c>
      <c r="O180">
        <f>players[[#This Row],[Goals]]+players[[#This Row],[Assists]]</f>
        <v>4</v>
      </c>
      <c r="P180" s="1">
        <f>IF(players[[#This Row],[Matches]]&gt;0,players[[#This Row],[Total Goal Involvement]]/players[[#This Row],[Matches]],0)</f>
        <v>0.44444444444444442</v>
      </c>
      <c r="Q180" s="3">
        <f>players[[#This Row],[Total Goal Involvement per match]]/players[[#This Row],[Markey Value In Millions(£)]]</f>
        <v>1.4109347442680775E-2</v>
      </c>
      <c r="R180">
        <v>2</v>
      </c>
      <c r="S180">
        <v>0</v>
      </c>
      <c r="T180">
        <v>0</v>
      </c>
      <c r="U180">
        <v>0</v>
      </c>
      <c r="V180">
        <v>2</v>
      </c>
    </row>
    <row r="181" spans="1:22" x14ac:dyDescent="0.25">
      <c r="A181">
        <v>179</v>
      </c>
      <c r="B181" t="s">
        <v>280</v>
      </c>
      <c r="C181" t="s">
        <v>71</v>
      </c>
      <c r="D181" t="str" cm="1">
        <f t="array" ref="D18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81">
        <v>25</v>
      </c>
      <c r="F18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1" s="2">
        <v>31.5</v>
      </c>
      <c r="H18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1" t="s">
        <v>236</v>
      </c>
      <c r="J181" t="s">
        <v>35</v>
      </c>
      <c r="K181">
        <v>13</v>
      </c>
      <c r="L181">
        <v>1</v>
      </c>
      <c r="M181">
        <v>0</v>
      </c>
      <c r="N181">
        <v>0</v>
      </c>
      <c r="O181">
        <f>players[[#This Row],[Goals]]+players[[#This Row],[Assists]]</f>
        <v>1</v>
      </c>
      <c r="P181" s="1">
        <f>IF(players[[#This Row],[Matches]]&gt;0,players[[#This Row],[Total Goal Involvement]]/players[[#This Row],[Matches]],0)</f>
        <v>7.6923076923076927E-2</v>
      </c>
      <c r="Q181" s="3">
        <f>players[[#This Row],[Total Goal Involvement per match]]/players[[#This Row],[Markey Value In Millions(£)]]</f>
        <v>2.442002442002442E-3</v>
      </c>
      <c r="R181">
        <v>1</v>
      </c>
      <c r="S181">
        <v>0</v>
      </c>
      <c r="T181">
        <v>0</v>
      </c>
      <c r="U181">
        <v>1</v>
      </c>
      <c r="V181">
        <v>1</v>
      </c>
    </row>
    <row r="182" spans="1:22" x14ac:dyDescent="0.25">
      <c r="A182">
        <v>180</v>
      </c>
      <c r="B182" t="s">
        <v>281</v>
      </c>
      <c r="C182" t="s">
        <v>17</v>
      </c>
      <c r="D182" t="str" cm="1">
        <f t="array" ref="D18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82">
        <v>25</v>
      </c>
      <c r="F18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2" s="2">
        <v>31.5</v>
      </c>
      <c r="H18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2" t="s">
        <v>18</v>
      </c>
      <c r="J182" t="s">
        <v>41</v>
      </c>
      <c r="K182">
        <v>7</v>
      </c>
      <c r="L182">
        <v>1</v>
      </c>
      <c r="M182">
        <v>0</v>
      </c>
      <c r="N182">
        <v>0</v>
      </c>
      <c r="O182">
        <f>players[[#This Row],[Goals]]+players[[#This Row],[Assists]]</f>
        <v>1</v>
      </c>
      <c r="P182" s="1">
        <f>IF(players[[#This Row],[Matches]]&gt;0,players[[#This Row],[Total Goal Involvement]]/players[[#This Row],[Matches]],0)</f>
        <v>0.14285714285714285</v>
      </c>
      <c r="Q182" s="3">
        <f>players[[#This Row],[Total Goal Involvement per match]]/players[[#This Row],[Markey Value In Millions(£)]]</f>
        <v>4.5351473922902496E-3</v>
      </c>
      <c r="R182">
        <v>0</v>
      </c>
      <c r="S182">
        <v>0</v>
      </c>
      <c r="T182">
        <v>0</v>
      </c>
      <c r="U182">
        <v>4</v>
      </c>
      <c r="V182">
        <v>2</v>
      </c>
    </row>
    <row r="183" spans="1:22" x14ac:dyDescent="0.25">
      <c r="A183">
        <v>181</v>
      </c>
      <c r="B183" t="s">
        <v>282</v>
      </c>
      <c r="C183" t="s">
        <v>30</v>
      </c>
      <c r="D183" t="str" cm="1">
        <f t="array" ref="D18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83">
        <v>27</v>
      </c>
      <c r="F18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3" s="2">
        <v>31.5</v>
      </c>
      <c r="H18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3" t="s">
        <v>87</v>
      </c>
      <c r="J183" t="s">
        <v>283</v>
      </c>
      <c r="K183">
        <v>10</v>
      </c>
      <c r="L183">
        <v>5</v>
      </c>
      <c r="M183">
        <v>0</v>
      </c>
      <c r="N183">
        <v>3</v>
      </c>
      <c r="O183">
        <f>players[[#This Row],[Goals]]+players[[#This Row],[Assists]]</f>
        <v>8</v>
      </c>
      <c r="P183" s="1">
        <f>IF(players[[#This Row],[Matches]]&gt;0,players[[#This Row],[Total Goal Involvement]]/players[[#This Row],[Matches]],0)</f>
        <v>0.8</v>
      </c>
      <c r="Q183" s="3">
        <f>players[[#This Row],[Total Goal Involvement per match]]/players[[#This Row],[Markey Value In Millions(£)]]</f>
        <v>2.5396825396825397E-2</v>
      </c>
      <c r="R183">
        <v>1</v>
      </c>
      <c r="S183">
        <v>0</v>
      </c>
      <c r="T183">
        <v>0</v>
      </c>
      <c r="U183">
        <v>0</v>
      </c>
      <c r="V183">
        <v>4</v>
      </c>
    </row>
    <row r="184" spans="1:22" x14ac:dyDescent="0.25">
      <c r="A184">
        <v>182</v>
      </c>
      <c r="B184" t="s">
        <v>284</v>
      </c>
      <c r="C184" t="s">
        <v>17</v>
      </c>
      <c r="D184" t="str" cm="1">
        <f t="array" ref="D18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84">
        <v>27</v>
      </c>
      <c r="F18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4" s="2">
        <v>31.5</v>
      </c>
      <c r="H18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4" t="s">
        <v>87</v>
      </c>
      <c r="J184" t="s">
        <v>285</v>
      </c>
      <c r="K184">
        <v>8</v>
      </c>
      <c r="L184">
        <v>2</v>
      </c>
      <c r="M184">
        <v>0</v>
      </c>
      <c r="N184">
        <v>0</v>
      </c>
      <c r="O184">
        <f>players[[#This Row],[Goals]]+players[[#This Row],[Assists]]</f>
        <v>2</v>
      </c>
      <c r="P184" s="1">
        <f>IF(players[[#This Row],[Matches]]&gt;0,players[[#This Row],[Total Goal Involvement]]/players[[#This Row],[Matches]],0)</f>
        <v>0.25</v>
      </c>
      <c r="Q184" s="3">
        <f>players[[#This Row],[Total Goal Involvement per match]]/players[[#This Row],[Markey Value In Millions(£)]]</f>
        <v>7.9365079365079361E-3</v>
      </c>
      <c r="R184">
        <v>0</v>
      </c>
      <c r="S184">
        <v>0</v>
      </c>
      <c r="T184">
        <v>0</v>
      </c>
      <c r="U184">
        <v>4</v>
      </c>
      <c r="V184">
        <v>3</v>
      </c>
    </row>
    <row r="185" spans="1:22" x14ac:dyDescent="0.25">
      <c r="A185">
        <v>183</v>
      </c>
      <c r="B185" t="s">
        <v>286</v>
      </c>
      <c r="C185" t="s">
        <v>71</v>
      </c>
      <c r="D185" t="str" cm="1">
        <f t="array" ref="D18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85">
        <v>26</v>
      </c>
      <c r="F18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5" s="2">
        <v>31.5</v>
      </c>
      <c r="H18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5" t="s">
        <v>50</v>
      </c>
      <c r="J185" t="s">
        <v>51</v>
      </c>
      <c r="K185">
        <v>17</v>
      </c>
      <c r="L185">
        <v>0</v>
      </c>
      <c r="M185">
        <v>0</v>
      </c>
      <c r="N185">
        <v>1</v>
      </c>
      <c r="O185">
        <f>players[[#This Row],[Goals]]+players[[#This Row],[Assists]]</f>
        <v>1</v>
      </c>
      <c r="P185" s="1">
        <f>IF(players[[#This Row],[Matches]]&gt;0,players[[#This Row],[Total Goal Involvement]]/players[[#This Row],[Matches]],0)</f>
        <v>5.8823529411764705E-2</v>
      </c>
      <c r="Q185" s="3">
        <f>players[[#This Row],[Total Goal Involvement per match]]/players[[#This Row],[Markey Value In Millions(£)]]</f>
        <v>1.8674136321195143E-3</v>
      </c>
      <c r="R185">
        <v>3</v>
      </c>
      <c r="S185">
        <v>0</v>
      </c>
      <c r="T185">
        <v>0</v>
      </c>
      <c r="U185">
        <v>3</v>
      </c>
      <c r="V185">
        <v>5</v>
      </c>
    </row>
    <row r="186" spans="1:22" x14ac:dyDescent="0.25">
      <c r="A186">
        <v>184</v>
      </c>
      <c r="B186" t="s">
        <v>287</v>
      </c>
      <c r="C186" t="s">
        <v>17</v>
      </c>
      <c r="D186" t="str" cm="1">
        <f t="array" ref="D18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86">
        <v>31</v>
      </c>
      <c r="F186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186" s="2">
        <v>31.5</v>
      </c>
      <c r="H18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6" t="s">
        <v>18</v>
      </c>
      <c r="J186" t="s">
        <v>259</v>
      </c>
      <c r="K186">
        <v>20</v>
      </c>
      <c r="L186">
        <v>8</v>
      </c>
      <c r="M186">
        <v>0</v>
      </c>
      <c r="N186">
        <v>3</v>
      </c>
      <c r="O186">
        <f>players[[#This Row],[Goals]]+players[[#This Row],[Assists]]</f>
        <v>11</v>
      </c>
      <c r="P186" s="1">
        <f>IF(players[[#This Row],[Matches]]&gt;0,players[[#This Row],[Total Goal Involvement]]/players[[#This Row],[Matches]],0)</f>
        <v>0.55000000000000004</v>
      </c>
      <c r="Q186" s="3">
        <f>players[[#This Row],[Total Goal Involvement per match]]/players[[#This Row],[Markey Value In Millions(£)]]</f>
        <v>1.7460317460317461E-2</v>
      </c>
      <c r="R186">
        <v>1</v>
      </c>
      <c r="S186">
        <v>0</v>
      </c>
      <c r="T186">
        <v>0</v>
      </c>
      <c r="U186">
        <v>6</v>
      </c>
      <c r="V186">
        <v>11</v>
      </c>
    </row>
    <row r="187" spans="1:22" x14ac:dyDescent="0.25">
      <c r="A187">
        <v>185</v>
      </c>
      <c r="B187" t="s">
        <v>288</v>
      </c>
      <c r="C187" t="s">
        <v>77</v>
      </c>
      <c r="D187" t="str" cm="1">
        <f t="array" ref="D18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87">
        <v>28</v>
      </c>
      <c r="F18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7" s="2">
        <v>31.5</v>
      </c>
      <c r="H18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7" t="s">
        <v>18</v>
      </c>
      <c r="J187" t="s">
        <v>138</v>
      </c>
      <c r="K187">
        <v>12</v>
      </c>
      <c r="L187">
        <v>1</v>
      </c>
      <c r="M187">
        <v>1</v>
      </c>
      <c r="N187">
        <v>0</v>
      </c>
      <c r="O187">
        <f>players[[#This Row],[Goals]]+players[[#This Row],[Assists]]</f>
        <v>1</v>
      </c>
      <c r="P187" s="1">
        <f>IF(players[[#This Row],[Matches]]&gt;0,players[[#This Row],[Total Goal Involvement]]/players[[#This Row],[Matches]],0)</f>
        <v>8.3333333333333329E-2</v>
      </c>
      <c r="Q187" s="3">
        <f>players[[#This Row],[Total Goal Involvement per match]]/players[[#This Row],[Markey Value In Millions(£)]]</f>
        <v>2.6455026455026454E-3</v>
      </c>
      <c r="R187">
        <v>3</v>
      </c>
      <c r="S187">
        <v>0</v>
      </c>
      <c r="T187">
        <v>0</v>
      </c>
      <c r="U187">
        <v>1</v>
      </c>
      <c r="V187">
        <v>1</v>
      </c>
    </row>
    <row r="188" spans="1:22" x14ac:dyDescent="0.25">
      <c r="A188">
        <v>186</v>
      </c>
      <c r="B188" t="s">
        <v>289</v>
      </c>
      <c r="C188" t="s">
        <v>99</v>
      </c>
      <c r="D188" t="str" cm="1">
        <f t="array" ref="D18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188">
        <v>29</v>
      </c>
      <c r="F18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8" s="2">
        <v>31.5</v>
      </c>
      <c r="H18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8" t="s">
        <v>62</v>
      </c>
      <c r="J188" t="s">
        <v>252</v>
      </c>
      <c r="K188">
        <v>10</v>
      </c>
      <c r="L188">
        <v>0</v>
      </c>
      <c r="M188">
        <v>0</v>
      </c>
      <c r="N188">
        <v>0</v>
      </c>
      <c r="O188">
        <f>players[[#This Row],[Goals]]+players[[#This Row],[Assists]]</f>
        <v>0</v>
      </c>
      <c r="P188" s="1">
        <f>IF(players[[#This Row],[Matches]]&gt;0,players[[#This Row],[Total Goal Involvement]]/players[[#This Row],[Matches]],0)</f>
        <v>0</v>
      </c>
      <c r="Q188" s="3">
        <f>players[[#This Row],[Total Goal Involvement per match]]/players[[#This Row],[Markey Value In Millions(£)]]</f>
        <v>0</v>
      </c>
      <c r="R188">
        <v>1</v>
      </c>
      <c r="S188">
        <v>0</v>
      </c>
      <c r="T188">
        <v>0</v>
      </c>
      <c r="U188">
        <v>0</v>
      </c>
      <c r="V188">
        <v>0</v>
      </c>
    </row>
    <row r="189" spans="1:22" x14ac:dyDescent="0.25">
      <c r="A189">
        <v>187</v>
      </c>
      <c r="B189" t="s">
        <v>290</v>
      </c>
      <c r="C189" t="s">
        <v>71</v>
      </c>
      <c r="D189" t="str" cm="1">
        <f t="array" ref="D18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89">
        <v>28</v>
      </c>
      <c r="F18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89" s="2">
        <v>31.5</v>
      </c>
      <c r="H18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89" t="s">
        <v>50</v>
      </c>
      <c r="J189" t="s">
        <v>35</v>
      </c>
      <c r="K189">
        <v>15</v>
      </c>
      <c r="L189">
        <v>1</v>
      </c>
      <c r="M189">
        <v>0</v>
      </c>
      <c r="N189">
        <v>1</v>
      </c>
      <c r="O189">
        <f>players[[#This Row],[Goals]]+players[[#This Row],[Assists]]</f>
        <v>2</v>
      </c>
      <c r="P189" s="1">
        <f>IF(players[[#This Row],[Matches]]&gt;0,players[[#This Row],[Total Goal Involvement]]/players[[#This Row],[Matches]],0)</f>
        <v>0.13333333333333333</v>
      </c>
      <c r="Q189" s="3">
        <f>players[[#This Row],[Total Goal Involvement per match]]/players[[#This Row],[Markey Value In Millions(£)]]</f>
        <v>4.2328042328042331E-3</v>
      </c>
      <c r="R189">
        <v>4</v>
      </c>
      <c r="S189">
        <v>0</v>
      </c>
      <c r="T189">
        <v>0</v>
      </c>
      <c r="U189">
        <v>0</v>
      </c>
      <c r="V189">
        <v>0</v>
      </c>
    </row>
    <row r="190" spans="1:22" x14ac:dyDescent="0.25">
      <c r="A190">
        <v>188</v>
      </c>
      <c r="B190" t="s">
        <v>291</v>
      </c>
      <c r="C190" t="s">
        <v>17</v>
      </c>
      <c r="D190" t="str" cm="1">
        <f t="array" ref="D19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90">
        <v>28</v>
      </c>
      <c r="F19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90" s="2">
        <v>31.5</v>
      </c>
      <c r="H19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0" t="s">
        <v>62</v>
      </c>
      <c r="J190" t="s">
        <v>19</v>
      </c>
      <c r="K190">
        <v>14</v>
      </c>
      <c r="L190">
        <v>3</v>
      </c>
      <c r="M190">
        <v>0</v>
      </c>
      <c r="N190">
        <v>0</v>
      </c>
      <c r="O190">
        <f>players[[#This Row],[Goals]]+players[[#This Row],[Assists]]</f>
        <v>3</v>
      </c>
      <c r="P190" s="1">
        <f>IF(players[[#This Row],[Matches]]&gt;0,players[[#This Row],[Total Goal Involvement]]/players[[#This Row],[Matches]],0)</f>
        <v>0.21428571428571427</v>
      </c>
      <c r="Q190" s="3">
        <f>players[[#This Row],[Total Goal Involvement per match]]/players[[#This Row],[Markey Value In Millions(£)]]</f>
        <v>6.8027210884353739E-3</v>
      </c>
      <c r="R190">
        <v>1</v>
      </c>
      <c r="S190">
        <v>0</v>
      </c>
      <c r="T190">
        <v>0</v>
      </c>
      <c r="U190">
        <v>8</v>
      </c>
      <c r="V190">
        <v>2</v>
      </c>
    </row>
    <row r="191" spans="1:22" x14ac:dyDescent="0.25">
      <c r="A191">
        <v>189</v>
      </c>
      <c r="B191" t="s">
        <v>292</v>
      </c>
      <c r="C191" t="s">
        <v>43</v>
      </c>
      <c r="D191" t="str" cm="1">
        <f t="array" ref="D19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91">
        <v>19</v>
      </c>
      <c r="F191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191" s="2">
        <v>29.7</v>
      </c>
      <c r="H19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1" t="s">
        <v>44</v>
      </c>
      <c r="J191" t="s">
        <v>293</v>
      </c>
      <c r="K191">
        <v>17</v>
      </c>
      <c r="L191">
        <v>1</v>
      </c>
      <c r="M191">
        <v>0</v>
      </c>
      <c r="N191">
        <v>1</v>
      </c>
      <c r="O191">
        <f>players[[#This Row],[Goals]]+players[[#This Row],[Assists]]</f>
        <v>2</v>
      </c>
      <c r="P191" s="1">
        <f>IF(players[[#This Row],[Matches]]&gt;0,players[[#This Row],[Total Goal Involvement]]/players[[#This Row],[Matches]],0)</f>
        <v>0.11764705882352941</v>
      </c>
      <c r="Q191" s="3">
        <f>players[[#This Row],[Total Goal Involvement per match]]/players[[#This Row],[Markey Value In Millions(£)]]</f>
        <v>3.9611804317686667E-3</v>
      </c>
      <c r="R191">
        <v>2</v>
      </c>
      <c r="S191">
        <v>0</v>
      </c>
      <c r="T191">
        <v>0</v>
      </c>
      <c r="U191">
        <v>1</v>
      </c>
      <c r="V191">
        <v>6</v>
      </c>
    </row>
    <row r="192" spans="1:22" x14ac:dyDescent="0.25">
      <c r="A192">
        <v>190</v>
      </c>
      <c r="B192" t="s">
        <v>294</v>
      </c>
      <c r="C192" t="s">
        <v>43</v>
      </c>
      <c r="D192" t="str" cm="1">
        <f t="array" ref="D19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92">
        <v>28</v>
      </c>
      <c r="F19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92" s="2">
        <v>29.7</v>
      </c>
      <c r="H19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2" t="s">
        <v>18</v>
      </c>
      <c r="J192" t="s">
        <v>188</v>
      </c>
      <c r="K192">
        <v>16</v>
      </c>
      <c r="L192">
        <v>4</v>
      </c>
      <c r="M192">
        <v>0</v>
      </c>
      <c r="N192">
        <v>3</v>
      </c>
      <c r="O192">
        <f>players[[#This Row],[Goals]]+players[[#This Row],[Assists]]</f>
        <v>7</v>
      </c>
      <c r="P192" s="1">
        <f>IF(players[[#This Row],[Matches]]&gt;0,players[[#This Row],[Total Goal Involvement]]/players[[#This Row],[Matches]],0)</f>
        <v>0.4375</v>
      </c>
      <c r="Q192" s="3">
        <f>players[[#This Row],[Total Goal Involvement per match]]/players[[#This Row],[Markey Value In Millions(£)]]</f>
        <v>1.4730639730639731E-2</v>
      </c>
      <c r="R192">
        <v>5</v>
      </c>
      <c r="S192">
        <v>0</v>
      </c>
      <c r="T192">
        <v>0</v>
      </c>
      <c r="U192">
        <v>1</v>
      </c>
      <c r="V192">
        <v>8</v>
      </c>
    </row>
    <row r="193" spans="1:22" x14ac:dyDescent="0.25">
      <c r="A193">
        <v>191</v>
      </c>
      <c r="B193" t="s">
        <v>295</v>
      </c>
      <c r="C193" t="s">
        <v>17</v>
      </c>
      <c r="D193" t="str" cm="1">
        <f t="array" ref="D19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93">
        <v>30</v>
      </c>
      <c r="F193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193" s="2">
        <v>29.7</v>
      </c>
      <c r="H19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3" t="s">
        <v>296</v>
      </c>
      <c r="J193" t="s">
        <v>277</v>
      </c>
      <c r="K193">
        <v>14</v>
      </c>
      <c r="L193">
        <v>8</v>
      </c>
      <c r="M193">
        <v>0</v>
      </c>
      <c r="N193">
        <v>5</v>
      </c>
      <c r="O193">
        <f>players[[#This Row],[Goals]]+players[[#This Row],[Assists]]</f>
        <v>13</v>
      </c>
      <c r="P193" s="1">
        <f>IF(players[[#This Row],[Matches]]&gt;0,players[[#This Row],[Total Goal Involvement]]/players[[#This Row],[Matches]],0)</f>
        <v>0.9285714285714286</v>
      </c>
      <c r="Q193" s="3">
        <f>players[[#This Row],[Total Goal Involvement per match]]/players[[#This Row],[Markey Value In Millions(£)]]</f>
        <v>3.1265031265031266E-2</v>
      </c>
      <c r="R193">
        <v>2</v>
      </c>
      <c r="S193">
        <v>0</v>
      </c>
      <c r="T193">
        <v>0</v>
      </c>
      <c r="U193">
        <v>2</v>
      </c>
      <c r="V193">
        <v>6</v>
      </c>
    </row>
    <row r="194" spans="1:22" x14ac:dyDescent="0.25">
      <c r="A194">
        <v>192</v>
      </c>
      <c r="B194" t="s">
        <v>297</v>
      </c>
      <c r="C194" t="s">
        <v>30</v>
      </c>
      <c r="D194" t="str" cm="1">
        <f t="array" ref="D19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94">
        <v>24</v>
      </c>
      <c r="F19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94" s="2">
        <v>28.8</v>
      </c>
      <c r="H19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4" t="s">
        <v>39</v>
      </c>
      <c r="J194" t="s">
        <v>219</v>
      </c>
      <c r="K194">
        <v>10</v>
      </c>
      <c r="L194">
        <v>5</v>
      </c>
      <c r="M194">
        <v>0</v>
      </c>
      <c r="N194">
        <v>0</v>
      </c>
      <c r="O194">
        <f>players[[#This Row],[Goals]]+players[[#This Row],[Assists]]</f>
        <v>5</v>
      </c>
      <c r="P194" s="1">
        <f>IF(players[[#This Row],[Matches]]&gt;0,players[[#This Row],[Total Goal Involvement]]/players[[#This Row],[Matches]],0)</f>
        <v>0.5</v>
      </c>
      <c r="Q194" s="3">
        <f>players[[#This Row],[Total Goal Involvement per match]]/players[[#This Row],[Markey Value In Millions(£)]]</f>
        <v>1.7361111111111112E-2</v>
      </c>
      <c r="R194">
        <v>3</v>
      </c>
      <c r="S194">
        <v>0</v>
      </c>
      <c r="T194">
        <v>0</v>
      </c>
      <c r="U194">
        <v>0</v>
      </c>
      <c r="V194">
        <v>3</v>
      </c>
    </row>
    <row r="195" spans="1:22" x14ac:dyDescent="0.25">
      <c r="A195">
        <v>193</v>
      </c>
      <c r="B195" t="s">
        <v>298</v>
      </c>
      <c r="C195" t="s">
        <v>30</v>
      </c>
      <c r="D195" t="str" cm="1">
        <f t="array" ref="D19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95">
        <v>21</v>
      </c>
      <c r="F195" t="str">
        <f>IF(players[[#This Row],[Age]]&gt;34,"Veterans",IF(players[[#This Row],[Age]]&gt;29,"Experienced",IF(players[[#This Row],[Age]]&gt;23,"Career peak",IF(players[[#This Row],[Age]]&gt;19,"Young","Teenagers"))))</f>
        <v>Young</v>
      </c>
      <c r="G195" s="2">
        <v>28.8</v>
      </c>
      <c r="H19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5" t="s">
        <v>24</v>
      </c>
      <c r="J195" t="s">
        <v>35</v>
      </c>
      <c r="K195">
        <v>11</v>
      </c>
      <c r="L195">
        <v>1</v>
      </c>
      <c r="M195">
        <v>0</v>
      </c>
      <c r="N195">
        <v>2</v>
      </c>
      <c r="O195">
        <f>players[[#This Row],[Goals]]+players[[#This Row],[Assists]]</f>
        <v>3</v>
      </c>
      <c r="P195" s="1">
        <f>IF(players[[#This Row],[Matches]]&gt;0,players[[#This Row],[Total Goal Involvement]]/players[[#This Row],[Matches]],0)</f>
        <v>0.27272727272727271</v>
      </c>
      <c r="Q195" s="3">
        <f>players[[#This Row],[Total Goal Involvement per match]]/players[[#This Row],[Markey Value In Millions(£)]]</f>
        <v>9.4696969696969682E-3</v>
      </c>
      <c r="R195">
        <v>0</v>
      </c>
      <c r="S195">
        <v>0</v>
      </c>
      <c r="T195">
        <v>0</v>
      </c>
      <c r="U195">
        <v>2</v>
      </c>
      <c r="V195">
        <v>7</v>
      </c>
    </row>
    <row r="196" spans="1:22" x14ac:dyDescent="0.25">
      <c r="A196">
        <v>194</v>
      </c>
      <c r="B196" t="s">
        <v>299</v>
      </c>
      <c r="C196" t="s">
        <v>71</v>
      </c>
      <c r="D196" t="str" cm="1">
        <f t="array" ref="D19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96">
        <v>25</v>
      </c>
      <c r="F19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96" s="2">
        <v>28.8</v>
      </c>
      <c r="H19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6" t="s">
        <v>296</v>
      </c>
      <c r="J196" t="s">
        <v>25</v>
      </c>
      <c r="K196">
        <v>9</v>
      </c>
      <c r="L196">
        <v>0</v>
      </c>
      <c r="M196">
        <v>0</v>
      </c>
      <c r="N196">
        <v>0</v>
      </c>
      <c r="O196">
        <f>players[[#This Row],[Goals]]+players[[#This Row],[Assists]]</f>
        <v>0</v>
      </c>
      <c r="P196" s="1">
        <f>IF(players[[#This Row],[Matches]]&gt;0,players[[#This Row],[Total Goal Involvement]]/players[[#This Row],[Matches]],0)</f>
        <v>0</v>
      </c>
      <c r="Q196" s="3">
        <f>players[[#This Row],[Total Goal Involvement per match]]/players[[#This Row],[Markey Value In Millions(£)]]</f>
        <v>0</v>
      </c>
      <c r="R196">
        <v>2</v>
      </c>
      <c r="S196">
        <v>0</v>
      </c>
      <c r="T196">
        <v>0</v>
      </c>
      <c r="U196">
        <v>2</v>
      </c>
      <c r="V196">
        <v>0</v>
      </c>
    </row>
    <row r="197" spans="1:22" x14ac:dyDescent="0.25">
      <c r="A197">
        <v>195</v>
      </c>
      <c r="B197" t="s">
        <v>300</v>
      </c>
      <c r="C197" t="s">
        <v>17</v>
      </c>
      <c r="D197" t="str" cm="1">
        <f t="array" ref="D19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197">
        <v>25</v>
      </c>
      <c r="F19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97" s="2">
        <v>28.8</v>
      </c>
      <c r="H19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7" t="s">
        <v>24</v>
      </c>
      <c r="J197" t="s">
        <v>252</v>
      </c>
      <c r="K197">
        <v>9</v>
      </c>
      <c r="L197">
        <v>2</v>
      </c>
      <c r="M197">
        <v>0</v>
      </c>
      <c r="N197">
        <v>0</v>
      </c>
      <c r="O197">
        <f>players[[#This Row],[Goals]]+players[[#This Row],[Assists]]</f>
        <v>2</v>
      </c>
      <c r="P197" s="1">
        <f>IF(players[[#This Row],[Matches]]&gt;0,players[[#This Row],[Total Goal Involvement]]/players[[#This Row],[Matches]],0)</f>
        <v>0.22222222222222221</v>
      </c>
      <c r="Q197" s="3">
        <f>players[[#This Row],[Total Goal Involvement per match]]/players[[#This Row],[Markey Value In Millions(£)]]</f>
        <v>7.716049382716049E-3</v>
      </c>
      <c r="R197">
        <v>2</v>
      </c>
      <c r="S197">
        <v>0</v>
      </c>
      <c r="T197">
        <v>0</v>
      </c>
      <c r="U197">
        <v>1</v>
      </c>
      <c r="V197">
        <v>0</v>
      </c>
    </row>
    <row r="198" spans="1:22" x14ac:dyDescent="0.25">
      <c r="A198">
        <v>196</v>
      </c>
      <c r="B198" t="s">
        <v>301</v>
      </c>
      <c r="C198" t="s">
        <v>43</v>
      </c>
      <c r="D198" t="str" cm="1">
        <f t="array" ref="D19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198">
        <v>26</v>
      </c>
      <c r="F19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98" s="2">
        <v>28.8</v>
      </c>
      <c r="H19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8" t="s">
        <v>302</v>
      </c>
      <c r="J198" t="s">
        <v>32</v>
      </c>
      <c r="K198">
        <v>10</v>
      </c>
      <c r="L198">
        <v>3</v>
      </c>
      <c r="M198">
        <v>0</v>
      </c>
      <c r="N198">
        <v>1</v>
      </c>
      <c r="O198">
        <f>players[[#This Row],[Goals]]+players[[#This Row],[Assists]]</f>
        <v>4</v>
      </c>
      <c r="P198" s="1">
        <f>IF(players[[#This Row],[Matches]]&gt;0,players[[#This Row],[Total Goal Involvement]]/players[[#This Row],[Matches]],0)</f>
        <v>0.4</v>
      </c>
      <c r="Q198" s="3">
        <f>players[[#This Row],[Total Goal Involvement per match]]/players[[#This Row],[Markey Value In Millions(£)]]</f>
        <v>1.388888888888889E-2</v>
      </c>
      <c r="R198">
        <v>0</v>
      </c>
      <c r="S198">
        <v>0</v>
      </c>
      <c r="T198">
        <v>0</v>
      </c>
      <c r="U198">
        <v>2</v>
      </c>
      <c r="V198">
        <v>7</v>
      </c>
    </row>
    <row r="199" spans="1:22" x14ac:dyDescent="0.25">
      <c r="A199">
        <v>197</v>
      </c>
      <c r="B199" t="s">
        <v>303</v>
      </c>
      <c r="C199" t="s">
        <v>77</v>
      </c>
      <c r="D199" t="str" cm="1">
        <f t="array" ref="D19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199">
        <v>24</v>
      </c>
      <c r="F19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199" s="2">
        <v>28.8</v>
      </c>
      <c r="H19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199" t="s">
        <v>113</v>
      </c>
      <c r="J199" t="s">
        <v>107</v>
      </c>
      <c r="K199">
        <v>8</v>
      </c>
      <c r="L199">
        <v>0</v>
      </c>
      <c r="M199">
        <v>0</v>
      </c>
      <c r="N199">
        <v>0</v>
      </c>
      <c r="O199">
        <f>players[[#This Row],[Goals]]+players[[#This Row],[Assists]]</f>
        <v>0</v>
      </c>
      <c r="P199" s="1">
        <f>IF(players[[#This Row],[Matches]]&gt;0,players[[#This Row],[Total Goal Involvement]]/players[[#This Row],[Matches]],0)</f>
        <v>0</v>
      </c>
      <c r="Q199" s="3">
        <f>players[[#This Row],[Total Goal Involvement per match]]/players[[#This Row],[Markey Value In Millions(£)]]</f>
        <v>0</v>
      </c>
      <c r="R199">
        <v>0</v>
      </c>
      <c r="S199">
        <v>0</v>
      </c>
      <c r="T199">
        <v>0</v>
      </c>
      <c r="U199">
        <v>0</v>
      </c>
      <c r="V199">
        <v>2</v>
      </c>
    </row>
    <row r="200" spans="1:22" x14ac:dyDescent="0.25">
      <c r="A200">
        <v>198</v>
      </c>
      <c r="B200" t="s">
        <v>304</v>
      </c>
      <c r="C200" t="s">
        <v>17</v>
      </c>
      <c r="D200" t="str" cm="1">
        <f t="array" ref="D20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00">
        <v>25</v>
      </c>
      <c r="F20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0" s="2">
        <v>28.8</v>
      </c>
      <c r="H20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0" t="s">
        <v>24</v>
      </c>
      <c r="J200" t="s">
        <v>305</v>
      </c>
      <c r="K200">
        <v>12</v>
      </c>
      <c r="L200">
        <v>3</v>
      </c>
      <c r="M200">
        <v>0</v>
      </c>
      <c r="N200">
        <v>3</v>
      </c>
      <c r="O200">
        <f>players[[#This Row],[Goals]]+players[[#This Row],[Assists]]</f>
        <v>6</v>
      </c>
      <c r="P200" s="1">
        <f>IF(players[[#This Row],[Matches]]&gt;0,players[[#This Row],[Total Goal Involvement]]/players[[#This Row],[Matches]],0)</f>
        <v>0.5</v>
      </c>
      <c r="Q200" s="3">
        <f>players[[#This Row],[Total Goal Involvement per match]]/players[[#This Row],[Markey Value In Millions(£)]]</f>
        <v>1.7361111111111112E-2</v>
      </c>
      <c r="R200">
        <v>2</v>
      </c>
      <c r="S200">
        <v>0</v>
      </c>
      <c r="T200">
        <v>0</v>
      </c>
      <c r="U200">
        <v>0</v>
      </c>
      <c r="V200">
        <v>0</v>
      </c>
    </row>
    <row r="201" spans="1:22" x14ac:dyDescent="0.25">
      <c r="A201">
        <v>199</v>
      </c>
      <c r="B201" t="s">
        <v>306</v>
      </c>
      <c r="C201" t="s">
        <v>27</v>
      </c>
      <c r="D201" t="str" cm="1">
        <f t="array" ref="D20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01">
        <v>28</v>
      </c>
      <c r="F20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1" s="2">
        <v>28.8</v>
      </c>
      <c r="H20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1" t="s">
        <v>197</v>
      </c>
      <c r="J201" t="s">
        <v>141</v>
      </c>
      <c r="K201">
        <v>11</v>
      </c>
      <c r="L201">
        <v>2</v>
      </c>
      <c r="M201">
        <v>0</v>
      </c>
      <c r="N201">
        <v>2</v>
      </c>
      <c r="O201">
        <f>players[[#This Row],[Goals]]+players[[#This Row],[Assists]]</f>
        <v>4</v>
      </c>
      <c r="P201" s="1">
        <f>IF(players[[#This Row],[Matches]]&gt;0,players[[#This Row],[Total Goal Involvement]]/players[[#This Row],[Matches]],0)</f>
        <v>0.36363636363636365</v>
      </c>
      <c r="Q201" s="3">
        <f>players[[#This Row],[Total Goal Involvement per match]]/players[[#This Row],[Markey Value In Millions(£)]]</f>
        <v>1.2626262626262626E-2</v>
      </c>
      <c r="R201">
        <v>1</v>
      </c>
      <c r="S201">
        <v>0</v>
      </c>
      <c r="T201">
        <v>0</v>
      </c>
      <c r="U201">
        <v>3</v>
      </c>
      <c r="V201">
        <v>5</v>
      </c>
    </row>
    <row r="202" spans="1:22" x14ac:dyDescent="0.25">
      <c r="A202">
        <v>200</v>
      </c>
      <c r="B202" t="s">
        <v>307</v>
      </c>
      <c r="C202" t="s">
        <v>43</v>
      </c>
      <c r="D202" t="str" cm="1">
        <f t="array" ref="D20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02">
        <v>27</v>
      </c>
      <c r="F20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2" s="2">
        <v>28.8</v>
      </c>
      <c r="H20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2" t="s">
        <v>24</v>
      </c>
      <c r="J202" t="s">
        <v>308</v>
      </c>
      <c r="K202">
        <v>11</v>
      </c>
      <c r="L202">
        <v>2</v>
      </c>
      <c r="M202">
        <v>0</v>
      </c>
      <c r="N202">
        <v>2</v>
      </c>
      <c r="O202">
        <f>players[[#This Row],[Goals]]+players[[#This Row],[Assists]]</f>
        <v>4</v>
      </c>
      <c r="P202" s="1">
        <f>IF(players[[#This Row],[Matches]]&gt;0,players[[#This Row],[Total Goal Involvement]]/players[[#This Row],[Matches]],0)</f>
        <v>0.36363636363636365</v>
      </c>
      <c r="Q202" s="3">
        <f>players[[#This Row],[Total Goal Involvement per match]]/players[[#This Row],[Markey Value In Millions(£)]]</f>
        <v>1.2626262626262626E-2</v>
      </c>
      <c r="R202">
        <v>2</v>
      </c>
      <c r="S202">
        <v>0</v>
      </c>
      <c r="T202">
        <v>1</v>
      </c>
      <c r="U202">
        <v>1</v>
      </c>
      <c r="V202">
        <v>2</v>
      </c>
    </row>
    <row r="203" spans="1:22" x14ac:dyDescent="0.25">
      <c r="A203">
        <v>201</v>
      </c>
      <c r="B203" t="s">
        <v>309</v>
      </c>
      <c r="C203" t="s">
        <v>71</v>
      </c>
      <c r="D203" t="str" cm="1">
        <f t="array" ref="D20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03">
        <v>26</v>
      </c>
      <c r="F20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3" s="2">
        <v>28.8</v>
      </c>
      <c r="H20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3" t="s">
        <v>44</v>
      </c>
      <c r="J203" t="s">
        <v>28</v>
      </c>
      <c r="K203">
        <v>7</v>
      </c>
      <c r="L203">
        <v>1</v>
      </c>
      <c r="M203">
        <v>0</v>
      </c>
      <c r="N203">
        <v>0</v>
      </c>
      <c r="O203">
        <f>players[[#This Row],[Goals]]+players[[#This Row],[Assists]]</f>
        <v>1</v>
      </c>
      <c r="P203" s="1">
        <f>IF(players[[#This Row],[Matches]]&gt;0,players[[#This Row],[Total Goal Involvement]]/players[[#This Row],[Matches]],0)</f>
        <v>0.14285714285714285</v>
      </c>
      <c r="Q203" s="3">
        <f>players[[#This Row],[Total Goal Involvement per match]]/players[[#This Row],[Markey Value In Millions(£)]]</f>
        <v>4.96031746031746E-3</v>
      </c>
      <c r="R203">
        <v>0</v>
      </c>
      <c r="S203">
        <v>0</v>
      </c>
      <c r="T203">
        <v>0</v>
      </c>
      <c r="U203">
        <v>1</v>
      </c>
      <c r="V203">
        <v>0</v>
      </c>
    </row>
    <row r="204" spans="1:22" x14ac:dyDescent="0.25">
      <c r="A204">
        <v>202</v>
      </c>
      <c r="B204" t="s">
        <v>310</v>
      </c>
      <c r="C204" t="s">
        <v>71</v>
      </c>
      <c r="D204" t="str" cm="1">
        <f t="array" ref="D20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04">
        <v>27</v>
      </c>
      <c r="F20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4" s="2">
        <v>28.8</v>
      </c>
      <c r="H20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4" t="s">
        <v>18</v>
      </c>
      <c r="J204" t="s">
        <v>82</v>
      </c>
      <c r="K204">
        <v>9</v>
      </c>
      <c r="L204">
        <v>1</v>
      </c>
      <c r="M204">
        <v>0</v>
      </c>
      <c r="N204">
        <v>0</v>
      </c>
      <c r="O204">
        <f>players[[#This Row],[Goals]]+players[[#This Row],[Assists]]</f>
        <v>1</v>
      </c>
      <c r="P204" s="1">
        <f>IF(players[[#This Row],[Matches]]&gt;0,players[[#This Row],[Total Goal Involvement]]/players[[#This Row],[Matches]],0)</f>
        <v>0.1111111111111111</v>
      </c>
      <c r="Q204" s="3">
        <f>players[[#This Row],[Total Goal Involvement per match]]/players[[#This Row],[Markey Value In Millions(£)]]</f>
        <v>3.8580246913580245E-3</v>
      </c>
      <c r="R204">
        <v>1</v>
      </c>
      <c r="S204">
        <v>0</v>
      </c>
      <c r="T204">
        <v>0</v>
      </c>
      <c r="U204">
        <v>0</v>
      </c>
      <c r="V204">
        <v>1</v>
      </c>
    </row>
    <row r="205" spans="1:22" x14ac:dyDescent="0.25">
      <c r="A205">
        <v>203</v>
      </c>
      <c r="B205" t="s">
        <v>311</v>
      </c>
      <c r="C205" t="s">
        <v>43</v>
      </c>
      <c r="D205" t="str" cm="1">
        <f t="array" ref="D20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05">
        <v>27</v>
      </c>
      <c r="F20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5" s="2">
        <v>28.8</v>
      </c>
      <c r="H20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5" t="s">
        <v>151</v>
      </c>
      <c r="J205" t="s">
        <v>51</v>
      </c>
      <c r="K205">
        <v>13</v>
      </c>
      <c r="L205">
        <v>0</v>
      </c>
      <c r="M205">
        <v>0</v>
      </c>
      <c r="N205">
        <v>0</v>
      </c>
      <c r="O205">
        <f>players[[#This Row],[Goals]]+players[[#This Row],[Assists]]</f>
        <v>0</v>
      </c>
      <c r="P205" s="1">
        <f>IF(players[[#This Row],[Matches]]&gt;0,players[[#This Row],[Total Goal Involvement]]/players[[#This Row],[Matches]],0)</f>
        <v>0</v>
      </c>
      <c r="Q205" s="3">
        <f>players[[#This Row],[Total Goal Involvement per match]]/players[[#This Row],[Markey Value In Millions(£)]]</f>
        <v>0</v>
      </c>
      <c r="R205">
        <v>1</v>
      </c>
      <c r="S205">
        <v>0</v>
      </c>
      <c r="T205">
        <v>0</v>
      </c>
      <c r="U205">
        <v>11</v>
      </c>
      <c r="V205">
        <v>2</v>
      </c>
    </row>
    <row r="206" spans="1:22" x14ac:dyDescent="0.25">
      <c r="A206">
        <v>204</v>
      </c>
      <c r="B206" t="s">
        <v>312</v>
      </c>
      <c r="C206" t="s">
        <v>30</v>
      </c>
      <c r="D206" t="str" cm="1">
        <f t="array" ref="D20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06">
        <v>19</v>
      </c>
      <c r="F206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206" s="2">
        <v>27</v>
      </c>
      <c r="H20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6" t="s">
        <v>59</v>
      </c>
      <c r="J206" t="s">
        <v>155</v>
      </c>
      <c r="K206">
        <v>18</v>
      </c>
      <c r="L206">
        <v>5</v>
      </c>
      <c r="M206">
        <v>0</v>
      </c>
      <c r="N206">
        <v>5</v>
      </c>
      <c r="O206">
        <f>players[[#This Row],[Goals]]+players[[#This Row],[Assists]]</f>
        <v>10</v>
      </c>
      <c r="P206" s="1">
        <f>IF(players[[#This Row],[Matches]]&gt;0,players[[#This Row],[Total Goal Involvement]]/players[[#This Row],[Matches]],0)</f>
        <v>0.55555555555555558</v>
      </c>
      <c r="Q206" s="3">
        <f>players[[#This Row],[Total Goal Involvement per match]]/players[[#This Row],[Markey Value In Millions(£)]]</f>
        <v>2.0576131687242798E-2</v>
      </c>
      <c r="R206">
        <v>4</v>
      </c>
      <c r="S206">
        <v>0</v>
      </c>
      <c r="T206">
        <v>0</v>
      </c>
      <c r="U206">
        <v>2</v>
      </c>
      <c r="V206">
        <v>14</v>
      </c>
    </row>
    <row r="207" spans="1:22" x14ac:dyDescent="0.25">
      <c r="A207">
        <v>205</v>
      </c>
      <c r="B207" t="s">
        <v>313</v>
      </c>
      <c r="C207" t="s">
        <v>27</v>
      </c>
      <c r="D207" t="str" cm="1">
        <f t="array" ref="D20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07">
        <v>20</v>
      </c>
      <c r="F207" t="str">
        <f>IF(players[[#This Row],[Age]]&gt;34,"Veterans",IF(players[[#This Row],[Age]]&gt;29,"Experienced",IF(players[[#This Row],[Age]]&gt;23,"Career peak",IF(players[[#This Row],[Age]]&gt;19,"Young","Teenagers"))))</f>
        <v>Young</v>
      </c>
      <c r="G207" s="2">
        <v>27</v>
      </c>
      <c r="H20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7" t="s">
        <v>59</v>
      </c>
      <c r="J207" t="s">
        <v>25</v>
      </c>
      <c r="K207">
        <v>15</v>
      </c>
      <c r="L207">
        <v>0</v>
      </c>
      <c r="M207">
        <v>0</v>
      </c>
      <c r="N207">
        <v>3</v>
      </c>
      <c r="O207">
        <f>players[[#This Row],[Goals]]+players[[#This Row],[Assists]]</f>
        <v>3</v>
      </c>
      <c r="P207" s="1">
        <f>IF(players[[#This Row],[Matches]]&gt;0,players[[#This Row],[Total Goal Involvement]]/players[[#This Row],[Matches]],0)</f>
        <v>0.2</v>
      </c>
      <c r="Q207" s="3">
        <f>players[[#This Row],[Total Goal Involvement per match]]/players[[#This Row],[Markey Value In Millions(£)]]</f>
        <v>7.4074074074074077E-3</v>
      </c>
      <c r="R207">
        <v>3</v>
      </c>
      <c r="S207">
        <v>0</v>
      </c>
      <c r="T207">
        <v>0</v>
      </c>
      <c r="U207">
        <v>6</v>
      </c>
      <c r="V207">
        <v>5</v>
      </c>
    </row>
    <row r="208" spans="1:22" x14ac:dyDescent="0.25">
      <c r="A208">
        <v>206</v>
      </c>
      <c r="B208" t="s">
        <v>314</v>
      </c>
      <c r="C208" t="s">
        <v>43</v>
      </c>
      <c r="D208" t="str" cm="1">
        <f t="array" ref="D20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08">
        <v>24</v>
      </c>
      <c r="F20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08" s="2">
        <v>27</v>
      </c>
      <c r="H20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8" t="s">
        <v>39</v>
      </c>
      <c r="J208" t="s">
        <v>254</v>
      </c>
      <c r="K208">
        <v>16</v>
      </c>
      <c r="L208">
        <v>0</v>
      </c>
      <c r="M208">
        <v>0</v>
      </c>
      <c r="N208">
        <v>5</v>
      </c>
      <c r="O208">
        <f>players[[#This Row],[Goals]]+players[[#This Row],[Assists]]</f>
        <v>5</v>
      </c>
      <c r="P208" s="1">
        <f>IF(players[[#This Row],[Matches]]&gt;0,players[[#This Row],[Total Goal Involvement]]/players[[#This Row],[Matches]],0)</f>
        <v>0.3125</v>
      </c>
      <c r="Q208" s="3">
        <f>players[[#This Row],[Total Goal Involvement per match]]/players[[#This Row],[Markey Value In Millions(£)]]</f>
        <v>1.1574074074074073E-2</v>
      </c>
      <c r="R208">
        <v>2</v>
      </c>
      <c r="S208">
        <v>0</v>
      </c>
      <c r="T208">
        <v>0</v>
      </c>
      <c r="U208">
        <v>1</v>
      </c>
      <c r="V208">
        <v>7</v>
      </c>
    </row>
    <row r="209" spans="1:22" x14ac:dyDescent="0.25">
      <c r="A209">
        <v>207</v>
      </c>
      <c r="B209" t="s">
        <v>315</v>
      </c>
      <c r="C209" t="s">
        <v>17</v>
      </c>
      <c r="D209" t="str" cm="1">
        <f t="array" ref="D20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09">
        <v>22</v>
      </c>
      <c r="F209" t="str">
        <f>IF(players[[#This Row],[Age]]&gt;34,"Veterans",IF(players[[#This Row],[Age]]&gt;29,"Experienced",IF(players[[#This Row],[Age]]&gt;23,"Career peak",IF(players[[#This Row],[Age]]&gt;19,"Young","Teenagers"))))</f>
        <v>Young</v>
      </c>
      <c r="G209" s="2">
        <v>27</v>
      </c>
      <c r="H20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09" t="s">
        <v>39</v>
      </c>
      <c r="J209" t="s">
        <v>65</v>
      </c>
      <c r="K209">
        <v>11</v>
      </c>
      <c r="L209">
        <v>3</v>
      </c>
      <c r="M209">
        <v>0</v>
      </c>
      <c r="N209">
        <v>2</v>
      </c>
      <c r="O209">
        <f>players[[#This Row],[Goals]]+players[[#This Row],[Assists]]</f>
        <v>5</v>
      </c>
      <c r="P209" s="1">
        <f>IF(players[[#This Row],[Matches]]&gt;0,players[[#This Row],[Total Goal Involvement]]/players[[#This Row],[Matches]],0)</f>
        <v>0.45454545454545453</v>
      </c>
      <c r="Q209" s="3">
        <f>players[[#This Row],[Total Goal Involvement per match]]/players[[#This Row],[Markey Value In Millions(£)]]</f>
        <v>1.6835016835016835E-2</v>
      </c>
      <c r="R209">
        <v>2</v>
      </c>
      <c r="S209">
        <v>0</v>
      </c>
      <c r="T209">
        <v>0</v>
      </c>
      <c r="U209">
        <v>9</v>
      </c>
      <c r="V209">
        <v>1</v>
      </c>
    </row>
    <row r="210" spans="1:22" x14ac:dyDescent="0.25">
      <c r="A210">
        <v>208</v>
      </c>
      <c r="B210" t="s">
        <v>316</v>
      </c>
      <c r="C210" t="s">
        <v>99</v>
      </c>
      <c r="D210" t="str" cm="1">
        <f t="array" ref="D21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210">
        <v>29</v>
      </c>
      <c r="F21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0" s="2">
        <v>27</v>
      </c>
      <c r="H21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0" t="s">
        <v>55</v>
      </c>
      <c r="J210" t="s">
        <v>35</v>
      </c>
      <c r="K210">
        <v>15</v>
      </c>
      <c r="L210">
        <v>0</v>
      </c>
      <c r="M210">
        <v>0</v>
      </c>
      <c r="N210">
        <v>0</v>
      </c>
      <c r="O210">
        <f>players[[#This Row],[Goals]]+players[[#This Row],[Assists]]</f>
        <v>0</v>
      </c>
      <c r="P210" s="1">
        <f>IF(players[[#This Row],[Matches]]&gt;0,players[[#This Row],[Total Goal Involvement]]/players[[#This Row],[Matches]],0)</f>
        <v>0</v>
      </c>
      <c r="Q210" s="3">
        <f>players[[#This Row],[Total Goal Involvement per match]]/players[[#This Row],[Markey Value In Millions(£)]]</f>
        <v>0</v>
      </c>
      <c r="R210">
        <v>1</v>
      </c>
      <c r="S210">
        <v>0</v>
      </c>
      <c r="T210">
        <v>0</v>
      </c>
      <c r="U210">
        <v>0</v>
      </c>
      <c r="V210">
        <v>1</v>
      </c>
    </row>
    <row r="211" spans="1:22" x14ac:dyDescent="0.25">
      <c r="A211">
        <v>209</v>
      </c>
      <c r="B211" t="s">
        <v>317</v>
      </c>
      <c r="C211" t="s">
        <v>43</v>
      </c>
      <c r="D211" t="str" cm="1">
        <f t="array" ref="D21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11">
        <v>20</v>
      </c>
      <c r="F211" t="str">
        <f>IF(players[[#This Row],[Age]]&gt;34,"Veterans",IF(players[[#This Row],[Age]]&gt;29,"Experienced",IF(players[[#This Row],[Age]]&gt;23,"Career peak",IF(players[[#This Row],[Age]]&gt;19,"Young","Teenagers"))))</f>
        <v>Young</v>
      </c>
      <c r="G211" s="2">
        <v>27</v>
      </c>
      <c r="H21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1" t="s">
        <v>24</v>
      </c>
      <c r="J211" t="s">
        <v>32</v>
      </c>
      <c r="K211">
        <v>10</v>
      </c>
      <c r="L211">
        <v>1</v>
      </c>
      <c r="M211">
        <v>0</v>
      </c>
      <c r="N211">
        <v>4</v>
      </c>
      <c r="O211">
        <f>players[[#This Row],[Goals]]+players[[#This Row],[Assists]]</f>
        <v>5</v>
      </c>
      <c r="P211" s="1">
        <f>IF(players[[#This Row],[Matches]]&gt;0,players[[#This Row],[Total Goal Involvement]]/players[[#This Row],[Matches]],0)</f>
        <v>0.5</v>
      </c>
      <c r="Q211" s="3">
        <f>players[[#This Row],[Total Goal Involvement per match]]/players[[#This Row],[Markey Value In Millions(£)]]</f>
        <v>1.8518518518518517E-2</v>
      </c>
      <c r="R211">
        <v>0</v>
      </c>
      <c r="S211">
        <v>0</v>
      </c>
      <c r="T211">
        <v>0</v>
      </c>
      <c r="U211">
        <v>4</v>
      </c>
      <c r="V211">
        <v>4</v>
      </c>
    </row>
    <row r="212" spans="1:22" x14ac:dyDescent="0.25">
      <c r="A212">
        <v>210</v>
      </c>
      <c r="B212" t="s">
        <v>318</v>
      </c>
      <c r="C212" t="s">
        <v>69</v>
      </c>
      <c r="D212" t="str" cm="1">
        <f t="array" ref="D21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12">
        <v>21</v>
      </c>
      <c r="F212" t="str">
        <f>IF(players[[#This Row],[Age]]&gt;34,"Veterans",IF(players[[#This Row],[Age]]&gt;29,"Experienced",IF(players[[#This Row],[Age]]&gt;23,"Career peak",IF(players[[#This Row],[Age]]&gt;19,"Young","Teenagers"))))</f>
        <v>Young</v>
      </c>
      <c r="G212" s="2">
        <v>27</v>
      </c>
      <c r="H21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2" t="s">
        <v>162</v>
      </c>
      <c r="J212" t="s">
        <v>45</v>
      </c>
      <c r="K212">
        <v>13</v>
      </c>
      <c r="L212">
        <v>0</v>
      </c>
      <c r="M212">
        <v>0</v>
      </c>
      <c r="N212">
        <v>3</v>
      </c>
      <c r="O212">
        <f>players[[#This Row],[Goals]]+players[[#This Row],[Assists]]</f>
        <v>3</v>
      </c>
      <c r="P212" s="1">
        <f>IF(players[[#This Row],[Matches]]&gt;0,players[[#This Row],[Total Goal Involvement]]/players[[#This Row],[Matches]],0)</f>
        <v>0.23076923076923078</v>
      </c>
      <c r="Q212" s="3">
        <f>players[[#This Row],[Total Goal Involvement per match]]/players[[#This Row],[Markey Value In Millions(£)]]</f>
        <v>8.5470085470085479E-3</v>
      </c>
      <c r="R212">
        <v>1</v>
      </c>
      <c r="S212">
        <v>0</v>
      </c>
      <c r="T212">
        <v>0</v>
      </c>
      <c r="U212">
        <v>1</v>
      </c>
      <c r="V212">
        <v>6</v>
      </c>
    </row>
    <row r="213" spans="1:22" x14ac:dyDescent="0.25">
      <c r="A213">
        <v>211</v>
      </c>
      <c r="B213" t="s">
        <v>319</v>
      </c>
      <c r="C213" t="s">
        <v>43</v>
      </c>
      <c r="D213" t="str" cm="1">
        <f t="array" ref="D21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13">
        <v>24</v>
      </c>
      <c r="F21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3" s="2">
        <v>27</v>
      </c>
      <c r="H21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3" t="s">
        <v>109</v>
      </c>
      <c r="J213" t="s">
        <v>88</v>
      </c>
      <c r="K213">
        <v>12</v>
      </c>
      <c r="L213">
        <v>0</v>
      </c>
      <c r="M213">
        <v>0</v>
      </c>
      <c r="N213">
        <v>3</v>
      </c>
      <c r="O213">
        <f>players[[#This Row],[Goals]]+players[[#This Row],[Assists]]</f>
        <v>3</v>
      </c>
      <c r="P213" s="1">
        <f>IF(players[[#This Row],[Matches]]&gt;0,players[[#This Row],[Total Goal Involvement]]/players[[#This Row],[Matches]],0)</f>
        <v>0.25</v>
      </c>
      <c r="Q213" s="3">
        <f>players[[#This Row],[Total Goal Involvement per match]]/players[[#This Row],[Markey Value In Millions(£)]]</f>
        <v>9.2592592592592587E-3</v>
      </c>
      <c r="R213">
        <v>1</v>
      </c>
      <c r="S213">
        <v>0</v>
      </c>
      <c r="T213">
        <v>0</v>
      </c>
      <c r="U213">
        <v>2</v>
      </c>
      <c r="V213">
        <v>8</v>
      </c>
    </row>
    <row r="214" spans="1:22" x14ac:dyDescent="0.25">
      <c r="A214">
        <v>212</v>
      </c>
      <c r="B214" t="s">
        <v>320</v>
      </c>
      <c r="C214" t="s">
        <v>17</v>
      </c>
      <c r="D214" t="str" cm="1">
        <f t="array" ref="D21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14">
        <v>22</v>
      </c>
      <c r="F214" t="str">
        <f>IF(players[[#This Row],[Age]]&gt;34,"Veterans",IF(players[[#This Row],[Age]]&gt;29,"Experienced",IF(players[[#This Row],[Age]]&gt;23,"Career peak",IF(players[[#This Row],[Age]]&gt;19,"Young","Teenagers"))))</f>
        <v>Young</v>
      </c>
      <c r="G214" s="2">
        <v>27</v>
      </c>
      <c r="H21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4" t="s">
        <v>44</v>
      </c>
      <c r="J214" t="s">
        <v>22</v>
      </c>
      <c r="K214">
        <v>17</v>
      </c>
      <c r="L214">
        <v>1</v>
      </c>
      <c r="M214">
        <v>0</v>
      </c>
      <c r="N214">
        <v>2</v>
      </c>
      <c r="O214">
        <f>players[[#This Row],[Goals]]+players[[#This Row],[Assists]]</f>
        <v>3</v>
      </c>
      <c r="P214" s="1">
        <f>IF(players[[#This Row],[Matches]]&gt;0,players[[#This Row],[Total Goal Involvement]]/players[[#This Row],[Matches]],0)</f>
        <v>0.17647058823529413</v>
      </c>
      <c r="Q214" s="3">
        <f>players[[#This Row],[Total Goal Involvement per match]]/players[[#This Row],[Markey Value In Millions(£)]]</f>
        <v>6.5359477124183009E-3</v>
      </c>
      <c r="R214">
        <v>1</v>
      </c>
      <c r="S214">
        <v>0</v>
      </c>
      <c r="T214">
        <v>0</v>
      </c>
      <c r="U214">
        <v>6</v>
      </c>
      <c r="V214">
        <v>11</v>
      </c>
    </row>
    <row r="215" spans="1:22" x14ac:dyDescent="0.25">
      <c r="A215">
        <v>213</v>
      </c>
      <c r="B215" t="s">
        <v>321</v>
      </c>
      <c r="C215" t="s">
        <v>30</v>
      </c>
      <c r="D215" t="str" cm="1">
        <f t="array" ref="D21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15">
        <v>24</v>
      </c>
      <c r="F21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5" s="2">
        <v>27</v>
      </c>
      <c r="H21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5" t="s">
        <v>24</v>
      </c>
      <c r="J215" t="s">
        <v>82</v>
      </c>
      <c r="K215">
        <v>17</v>
      </c>
      <c r="L215">
        <v>3</v>
      </c>
      <c r="M215">
        <v>0</v>
      </c>
      <c r="N215">
        <v>5</v>
      </c>
      <c r="O215">
        <f>players[[#This Row],[Goals]]+players[[#This Row],[Assists]]</f>
        <v>8</v>
      </c>
      <c r="P215" s="1">
        <f>IF(players[[#This Row],[Matches]]&gt;0,players[[#This Row],[Total Goal Involvement]]/players[[#This Row],[Matches]],0)</f>
        <v>0.47058823529411764</v>
      </c>
      <c r="Q215" s="3">
        <f>players[[#This Row],[Total Goal Involvement per match]]/players[[#This Row],[Markey Value In Millions(£)]]</f>
        <v>1.7429193899782133E-2</v>
      </c>
      <c r="R215">
        <v>1</v>
      </c>
      <c r="S215">
        <v>0</v>
      </c>
      <c r="T215">
        <v>0</v>
      </c>
      <c r="U215">
        <v>4</v>
      </c>
      <c r="V215">
        <v>10</v>
      </c>
    </row>
    <row r="216" spans="1:22" x14ac:dyDescent="0.25">
      <c r="A216">
        <v>214</v>
      </c>
      <c r="B216" t="s">
        <v>322</v>
      </c>
      <c r="C216" t="s">
        <v>37</v>
      </c>
      <c r="D216" t="str" cm="1">
        <f t="array" ref="D21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16">
        <v>24</v>
      </c>
      <c r="F21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6" s="2">
        <v>27</v>
      </c>
      <c r="H21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6" t="s">
        <v>197</v>
      </c>
      <c r="J216" t="s">
        <v>82</v>
      </c>
      <c r="K216">
        <v>14</v>
      </c>
      <c r="L216">
        <v>0</v>
      </c>
      <c r="M216">
        <v>0</v>
      </c>
      <c r="N216">
        <v>1</v>
      </c>
      <c r="O216">
        <f>players[[#This Row],[Goals]]+players[[#This Row],[Assists]]</f>
        <v>1</v>
      </c>
      <c r="P216" s="1">
        <f>IF(players[[#This Row],[Matches]]&gt;0,players[[#This Row],[Total Goal Involvement]]/players[[#This Row],[Matches]],0)</f>
        <v>7.1428571428571425E-2</v>
      </c>
      <c r="Q216" s="3">
        <f>players[[#This Row],[Total Goal Involvement per match]]/players[[#This Row],[Markey Value In Millions(£)]]</f>
        <v>2.6455026455026454E-3</v>
      </c>
      <c r="R216">
        <v>0</v>
      </c>
      <c r="S216">
        <v>0</v>
      </c>
      <c r="T216">
        <v>0</v>
      </c>
      <c r="U216">
        <v>6</v>
      </c>
      <c r="V216">
        <v>7</v>
      </c>
    </row>
    <row r="217" spans="1:22" x14ac:dyDescent="0.25">
      <c r="A217">
        <v>215</v>
      </c>
      <c r="B217" t="s">
        <v>323</v>
      </c>
      <c r="C217" t="s">
        <v>71</v>
      </c>
      <c r="D217" t="str" cm="1">
        <f t="array" ref="D21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17">
        <v>26</v>
      </c>
      <c r="F21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7" s="2">
        <v>27</v>
      </c>
      <c r="H21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7" t="s">
        <v>324</v>
      </c>
      <c r="J217" t="s">
        <v>22</v>
      </c>
      <c r="K217">
        <v>18</v>
      </c>
      <c r="L217">
        <v>0</v>
      </c>
      <c r="M217">
        <v>0</v>
      </c>
      <c r="N217">
        <v>0</v>
      </c>
      <c r="O217">
        <f>players[[#This Row],[Goals]]+players[[#This Row],[Assists]]</f>
        <v>0</v>
      </c>
      <c r="P217" s="1">
        <f>IF(players[[#This Row],[Matches]]&gt;0,players[[#This Row],[Total Goal Involvement]]/players[[#This Row],[Matches]],0)</f>
        <v>0</v>
      </c>
      <c r="Q217" s="3">
        <f>players[[#This Row],[Total Goal Involvement per match]]/players[[#This Row],[Markey Value In Millions(£)]]</f>
        <v>0</v>
      </c>
      <c r="R217">
        <v>2</v>
      </c>
      <c r="S217">
        <v>0</v>
      </c>
      <c r="T217">
        <v>0</v>
      </c>
      <c r="U217">
        <v>1</v>
      </c>
      <c r="V217">
        <v>0</v>
      </c>
    </row>
    <row r="218" spans="1:22" x14ac:dyDescent="0.25">
      <c r="A218">
        <v>216</v>
      </c>
      <c r="B218" t="s">
        <v>325</v>
      </c>
      <c r="C218" t="s">
        <v>27</v>
      </c>
      <c r="D218" t="str" cm="1">
        <f t="array" ref="D21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18">
        <v>24</v>
      </c>
      <c r="F21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8" s="2">
        <v>27</v>
      </c>
      <c r="H21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8" t="s">
        <v>18</v>
      </c>
      <c r="J218" t="s">
        <v>326</v>
      </c>
      <c r="K218">
        <v>12</v>
      </c>
      <c r="L218">
        <v>2</v>
      </c>
      <c r="M218">
        <v>0</v>
      </c>
      <c r="N218">
        <v>3</v>
      </c>
      <c r="O218">
        <f>players[[#This Row],[Goals]]+players[[#This Row],[Assists]]</f>
        <v>5</v>
      </c>
      <c r="P218" s="1">
        <f>IF(players[[#This Row],[Matches]]&gt;0,players[[#This Row],[Total Goal Involvement]]/players[[#This Row],[Matches]],0)</f>
        <v>0.41666666666666669</v>
      </c>
      <c r="Q218" s="3">
        <f>players[[#This Row],[Total Goal Involvement per match]]/players[[#This Row],[Markey Value In Millions(£)]]</f>
        <v>1.54320987654321E-2</v>
      </c>
      <c r="R218">
        <v>1</v>
      </c>
      <c r="S218">
        <v>0</v>
      </c>
      <c r="T218">
        <v>0</v>
      </c>
      <c r="U218">
        <v>1</v>
      </c>
      <c r="V218">
        <v>1</v>
      </c>
    </row>
    <row r="219" spans="1:22" x14ac:dyDescent="0.25">
      <c r="A219">
        <v>217</v>
      </c>
      <c r="B219" t="s">
        <v>327</v>
      </c>
      <c r="C219" t="s">
        <v>43</v>
      </c>
      <c r="D219" t="str" cm="1">
        <f t="array" ref="D21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19">
        <v>27</v>
      </c>
      <c r="F21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19" s="2">
        <v>27</v>
      </c>
      <c r="H21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19" t="s">
        <v>59</v>
      </c>
      <c r="J219" t="s">
        <v>116</v>
      </c>
      <c r="K219">
        <v>16</v>
      </c>
      <c r="L219">
        <v>0</v>
      </c>
      <c r="M219">
        <v>0</v>
      </c>
      <c r="N219">
        <v>1</v>
      </c>
      <c r="O219">
        <f>players[[#This Row],[Goals]]+players[[#This Row],[Assists]]</f>
        <v>1</v>
      </c>
      <c r="P219" s="1">
        <f>IF(players[[#This Row],[Matches]]&gt;0,players[[#This Row],[Total Goal Involvement]]/players[[#This Row],[Matches]],0)</f>
        <v>6.25E-2</v>
      </c>
      <c r="Q219" s="3">
        <f>players[[#This Row],[Total Goal Involvement per match]]/players[[#This Row],[Markey Value In Millions(£)]]</f>
        <v>2.3148148148148147E-3</v>
      </c>
      <c r="R219">
        <v>3</v>
      </c>
      <c r="S219">
        <v>0</v>
      </c>
      <c r="T219">
        <v>0</v>
      </c>
      <c r="U219">
        <v>4</v>
      </c>
      <c r="V219">
        <v>11</v>
      </c>
    </row>
    <row r="220" spans="1:22" x14ac:dyDescent="0.25">
      <c r="A220">
        <v>218</v>
      </c>
      <c r="B220" t="s">
        <v>328</v>
      </c>
      <c r="C220" t="s">
        <v>43</v>
      </c>
      <c r="D220" t="str" cm="1">
        <f t="array" ref="D22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20">
        <v>24</v>
      </c>
      <c r="F22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0" s="2">
        <v>27</v>
      </c>
      <c r="H22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0" t="s">
        <v>47</v>
      </c>
      <c r="J220" t="s">
        <v>249</v>
      </c>
      <c r="K220">
        <v>8</v>
      </c>
      <c r="L220">
        <v>0</v>
      </c>
      <c r="M220">
        <v>0</v>
      </c>
      <c r="N220">
        <v>1</v>
      </c>
      <c r="O220">
        <f>players[[#This Row],[Goals]]+players[[#This Row],[Assists]]</f>
        <v>1</v>
      </c>
      <c r="P220" s="1">
        <f>IF(players[[#This Row],[Matches]]&gt;0,players[[#This Row],[Total Goal Involvement]]/players[[#This Row],[Matches]],0)</f>
        <v>0.125</v>
      </c>
      <c r="Q220" s="3">
        <f>players[[#This Row],[Total Goal Involvement per match]]/players[[#This Row],[Markey Value In Millions(£)]]</f>
        <v>4.6296296296296294E-3</v>
      </c>
      <c r="R220">
        <v>2</v>
      </c>
      <c r="S220">
        <v>0</v>
      </c>
      <c r="T220">
        <v>0</v>
      </c>
      <c r="U220">
        <v>2</v>
      </c>
      <c r="V220">
        <v>4</v>
      </c>
    </row>
    <row r="221" spans="1:22" x14ac:dyDescent="0.25">
      <c r="A221">
        <v>219</v>
      </c>
      <c r="B221" t="s">
        <v>329</v>
      </c>
      <c r="C221" t="s">
        <v>71</v>
      </c>
      <c r="D221" t="str" cm="1">
        <f t="array" ref="D22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21">
        <v>25</v>
      </c>
      <c r="F22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1" s="2">
        <v>27</v>
      </c>
      <c r="H22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1" t="s">
        <v>87</v>
      </c>
      <c r="J221" t="s">
        <v>188</v>
      </c>
      <c r="K221">
        <v>16</v>
      </c>
      <c r="L221">
        <v>1</v>
      </c>
      <c r="M221">
        <v>0</v>
      </c>
      <c r="N221">
        <v>0</v>
      </c>
      <c r="O221">
        <f>players[[#This Row],[Goals]]+players[[#This Row],[Assists]]</f>
        <v>1</v>
      </c>
      <c r="P221" s="1">
        <f>IF(players[[#This Row],[Matches]]&gt;0,players[[#This Row],[Total Goal Involvement]]/players[[#This Row],[Matches]],0)</f>
        <v>6.25E-2</v>
      </c>
      <c r="Q221" s="3">
        <f>players[[#This Row],[Total Goal Involvement per match]]/players[[#This Row],[Markey Value In Millions(£)]]</f>
        <v>2.3148148148148147E-3</v>
      </c>
      <c r="R221">
        <v>5</v>
      </c>
      <c r="S221">
        <v>0</v>
      </c>
      <c r="T221">
        <v>0</v>
      </c>
      <c r="U221">
        <v>0</v>
      </c>
      <c r="V221">
        <v>0</v>
      </c>
    </row>
    <row r="222" spans="1:22" x14ac:dyDescent="0.25">
      <c r="A222">
        <v>220</v>
      </c>
      <c r="B222" t="s">
        <v>330</v>
      </c>
      <c r="C222" t="s">
        <v>71</v>
      </c>
      <c r="D222" t="str" cm="1">
        <f t="array" ref="D22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22">
        <v>24</v>
      </c>
      <c r="F22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2" s="2">
        <v>27</v>
      </c>
      <c r="H22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2" t="s">
        <v>24</v>
      </c>
      <c r="J222" t="s">
        <v>32</v>
      </c>
      <c r="K222">
        <v>7</v>
      </c>
      <c r="L222">
        <v>0</v>
      </c>
      <c r="M222">
        <v>0</v>
      </c>
      <c r="N222">
        <v>0</v>
      </c>
      <c r="O222">
        <f>players[[#This Row],[Goals]]+players[[#This Row],[Assists]]</f>
        <v>0</v>
      </c>
      <c r="P222" s="1">
        <f>IF(players[[#This Row],[Matches]]&gt;0,players[[#This Row],[Total Goal Involvement]]/players[[#This Row],[Matches]],0)</f>
        <v>0</v>
      </c>
      <c r="Q222" s="3">
        <f>players[[#This Row],[Total Goal Involvement per match]]/players[[#This Row],[Markey Value In Millions(£)]]</f>
        <v>0</v>
      </c>
      <c r="R222">
        <v>0</v>
      </c>
      <c r="S222">
        <v>0</v>
      </c>
      <c r="T222">
        <v>0</v>
      </c>
      <c r="U222">
        <v>4</v>
      </c>
      <c r="V222">
        <v>0</v>
      </c>
    </row>
    <row r="223" spans="1:22" x14ac:dyDescent="0.25">
      <c r="A223">
        <v>221</v>
      </c>
      <c r="B223" t="s">
        <v>331</v>
      </c>
      <c r="C223" t="s">
        <v>71</v>
      </c>
      <c r="D223" t="str" cm="1">
        <f t="array" ref="D22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23">
        <v>28</v>
      </c>
      <c r="F22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3" s="2">
        <v>27</v>
      </c>
      <c r="H22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3" t="s">
        <v>24</v>
      </c>
      <c r="J223" t="s">
        <v>252</v>
      </c>
      <c r="K223">
        <v>10</v>
      </c>
      <c r="L223">
        <v>0</v>
      </c>
      <c r="M223">
        <v>0</v>
      </c>
      <c r="N223">
        <v>1</v>
      </c>
      <c r="O223">
        <f>players[[#This Row],[Goals]]+players[[#This Row],[Assists]]</f>
        <v>1</v>
      </c>
      <c r="P223" s="1">
        <f>IF(players[[#This Row],[Matches]]&gt;0,players[[#This Row],[Total Goal Involvement]]/players[[#This Row],[Matches]],0)</f>
        <v>0.1</v>
      </c>
      <c r="Q223" s="3">
        <f>players[[#This Row],[Total Goal Involvement per match]]/players[[#This Row],[Markey Value In Millions(£)]]</f>
        <v>3.7037037037037038E-3</v>
      </c>
      <c r="R223">
        <v>4</v>
      </c>
      <c r="S223">
        <v>0</v>
      </c>
      <c r="T223">
        <v>0</v>
      </c>
      <c r="U223">
        <v>1</v>
      </c>
      <c r="V223">
        <v>0</v>
      </c>
    </row>
    <row r="224" spans="1:22" x14ac:dyDescent="0.25">
      <c r="A224">
        <v>222</v>
      </c>
      <c r="B224" t="s">
        <v>332</v>
      </c>
      <c r="C224" t="s">
        <v>17</v>
      </c>
      <c r="D224" t="str" cm="1">
        <f t="array" ref="D22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24">
        <v>29</v>
      </c>
      <c r="F22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4" s="2">
        <v>27</v>
      </c>
      <c r="H22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4" t="s">
        <v>44</v>
      </c>
      <c r="J224" t="s">
        <v>333</v>
      </c>
      <c r="K224">
        <v>13</v>
      </c>
      <c r="L224">
        <v>4</v>
      </c>
      <c r="M224">
        <v>0</v>
      </c>
      <c r="N224">
        <v>1</v>
      </c>
      <c r="O224">
        <f>players[[#This Row],[Goals]]+players[[#This Row],[Assists]]</f>
        <v>5</v>
      </c>
      <c r="P224" s="1">
        <f>IF(players[[#This Row],[Matches]]&gt;0,players[[#This Row],[Total Goal Involvement]]/players[[#This Row],[Matches]],0)</f>
        <v>0.38461538461538464</v>
      </c>
      <c r="Q224" s="3">
        <f>players[[#This Row],[Total Goal Involvement per match]]/players[[#This Row],[Markey Value In Millions(£)]]</f>
        <v>1.4245014245014245E-2</v>
      </c>
      <c r="R224">
        <v>4</v>
      </c>
      <c r="S224">
        <v>0</v>
      </c>
      <c r="T224">
        <v>0</v>
      </c>
      <c r="U224">
        <v>1</v>
      </c>
      <c r="V224">
        <v>3</v>
      </c>
    </row>
    <row r="225" spans="1:22" x14ac:dyDescent="0.25">
      <c r="A225">
        <v>223</v>
      </c>
      <c r="B225" t="s">
        <v>334</v>
      </c>
      <c r="C225" t="s">
        <v>75</v>
      </c>
      <c r="D225" t="str" cm="1">
        <f t="array" ref="D22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25">
        <v>27</v>
      </c>
      <c r="F22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5" s="2">
        <v>27</v>
      </c>
      <c r="H22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5" t="s">
        <v>62</v>
      </c>
      <c r="J225" t="s">
        <v>63</v>
      </c>
      <c r="K225">
        <v>11</v>
      </c>
      <c r="L225">
        <v>4</v>
      </c>
      <c r="M225">
        <v>0</v>
      </c>
      <c r="N225">
        <v>0</v>
      </c>
      <c r="O225">
        <f>players[[#This Row],[Goals]]+players[[#This Row],[Assists]]</f>
        <v>4</v>
      </c>
      <c r="P225" s="1">
        <f>IF(players[[#This Row],[Matches]]&gt;0,players[[#This Row],[Total Goal Involvement]]/players[[#This Row],[Matches]],0)</f>
        <v>0.36363636363636365</v>
      </c>
      <c r="Q225" s="3">
        <f>players[[#This Row],[Total Goal Involvement per match]]/players[[#This Row],[Markey Value In Millions(£)]]</f>
        <v>1.3468013468013469E-2</v>
      </c>
      <c r="R225">
        <v>2</v>
      </c>
      <c r="S225">
        <v>0</v>
      </c>
      <c r="T225">
        <v>0</v>
      </c>
      <c r="U225">
        <v>8</v>
      </c>
      <c r="V225">
        <v>3</v>
      </c>
    </row>
    <row r="226" spans="1:22" x14ac:dyDescent="0.25">
      <c r="A226">
        <v>224</v>
      </c>
      <c r="B226" t="s">
        <v>335</v>
      </c>
      <c r="C226" t="s">
        <v>69</v>
      </c>
      <c r="D226" t="str" cm="1">
        <f t="array" ref="D22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26">
        <v>28</v>
      </c>
      <c r="F22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6" s="2">
        <v>27</v>
      </c>
      <c r="H22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6" t="s">
        <v>47</v>
      </c>
      <c r="J226" t="s">
        <v>124</v>
      </c>
      <c r="K226">
        <v>11</v>
      </c>
      <c r="L226">
        <v>0</v>
      </c>
      <c r="M226">
        <v>0</v>
      </c>
      <c r="N226">
        <v>2</v>
      </c>
      <c r="O226">
        <f>players[[#This Row],[Goals]]+players[[#This Row],[Assists]]</f>
        <v>2</v>
      </c>
      <c r="P226" s="1">
        <f>IF(players[[#This Row],[Matches]]&gt;0,players[[#This Row],[Total Goal Involvement]]/players[[#This Row],[Matches]],0)</f>
        <v>0.18181818181818182</v>
      </c>
      <c r="Q226" s="3">
        <f>players[[#This Row],[Total Goal Involvement per match]]/players[[#This Row],[Markey Value In Millions(£)]]</f>
        <v>6.7340067340067346E-3</v>
      </c>
      <c r="R226">
        <v>2</v>
      </c>
      <c r="S226">
        <v>0</v>
      </c>
      <c r="T226">
        <v>0</v>
      </c>
      <c r="U226">
        <v>1</v>
      </c>
      <c r="V226">
        <v>3</v>
      </c>
    </row>
    <row r="227" spans="1:22" x14ac:dyDescent="0.25">
      <c r="A227">
        <v>225</v>
      </c>
      <c r="B227" t="s">
        <v>336</v>
      </c>
      <c r="C227" t="s">
        <v>37</v>
      </c>
      <c r="D227" t="str" cm="1">
        <f t="array" ref="D22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27">
        <v>25</v>
      </c>
      <c r="F22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7" s="2">
        <v>27</v>
      </c>
      <c r="H22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7" t="s">
        <v>24</v>
      </c>
      <c r="J227" t="s">
        <v>25</v>
      </c>
      <c r="K227">
        <v>12</v>
      </c>
      <c r="L227">
        <v>2</v>
      </c>
      <c r="M227">
        <v>0</v>
      </c>
      <c r="N227">
        <v>1</v>
      </c>
      <c r="O227">
        <f>players[[#This Row],[Goals]]+players[[#This Row],[Assists]]</f>
        <v>3</v>
      </c>
      <c r="P227" s="1">
        <f>IF(players[[#This Row],[Matches]]&gt;0,players[[#This Row],[Total Goal Involvement]]/players[[#This Row],[Matches]],0)</f>
        <v>0.25</v>
      </c>
      <c r="Q227" s="3">
        <f>players[[#This Row],[Total Goal Involvement per match]]/players[[#This Row],[Markey Value In Millions(£)]]</f>
        <v>9.2592592592592587E-3</v>
      </c>
      <c r="R227">
        <v>1</v>
      </c>
      <c r="S227">
        <v>0</v>
      </c>
      <c r="T227">
        <v>0</v>
      </c>
      <c r="U227">
        <v>3</v>
      </c>
      <c r="V227">
        <v>3</v>
      </c>
    </row>
    <row r="228" spans="1:22" x14ac:dyDescent="0.25">
      <c r="A228">
        <v>226</v>
      </c>
      <c r="B228" t="s">
        <v>337</v>
      </c>
      <c r="C228" t="s">
        <v>37</v>
      </c>
      <c r="D228" t="str" cm="1">
        <f t="array" ref="D22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28">
        <v>28</v>
      </c>
      <c r="F22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8" s="2">
        <v>27</v>
      </c>
      <c r="H22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8" t="s">
        <v>338</v>
      </c>
      <c r="J228" t="s">
        <v>277</v>
      </c>
      <c r="K228">
        <v>16</v>
      </c>
      <c r="L228">
        <v>2</v>
      </c>
      <c r="M228">
        <v>0</v>
      </c>
      <c r="N228">
        <v>1</v>
      </c>
      <c r="O228">
        <f>players[[#This Row],[Goals]]+players[[#This Row],[Assists]]</f>
        <v>3</v>
      </c>
      <c r="P228" s="1">
        <f>IF(players[[#This Row],[Matches]]&gt;0,players[[#This Row],[Total Goal Involvement]]/players[[#This Row],[Matches]],0)</f>
        <v>0.1875</v>
      </c>
      <c r="Q228" s="3">
        <f>players[[#This Row],[Total Goal Involvement per match]]/players[[#This Row],[Markey Value In Millions(£)]]</f>
        <v>6.9444444444444441E-3</v>
      </c>
      <c r="R228">
        <v>3</v>
      </c>
      <c r="S228">
        <v>0</v>
      </c>
      <c r="T228">
        <v>0</v>
      </c>
      <c r="U228">
        <v>4</v>
      </c>
      <c r="V228">
        <v>12</v>
      </c>
    </row>
    <row r="229" spans="1:22" x14ac:dyDescent="0.25">
      <c r="A229">
        <v>227</v>
      </c>
      <c r="B229" t="s">
        <v>339</v>
      </c>
      <c r="C229" t="s">
        <v>30</v>
      </c>
      <c r="D229" t="str" cm="1">
        <f t="array" ref="D22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29">
        <v>25</v>
      </c>
      <c r="F22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29" s="2">
        <v>27</v>
      </c>
      <c r="H22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29" t="s">
        <v>59</v>
      </c>
      <c r="J229" t="s">
        <v>204</v>
      </c>
      <c r="K229">
        <v>12</v>
      </c>
      <c r="L229">
        <v>0</v>
      </c>
      <c r="M229">
        <v>0</v>
      </c>
      <c r="N229">
        <v>0</v>
      </c>
      <c r="O229">
        <f>players[[#This Row],[Goals]]+players[[#This Row],[Assists]]</f>
        <v>0</v>
      </c>
      <c r="P229" s="1">
        <f>IF(players[[#This Row],[Matches]]&gt;0,players[[#This Row],[Total Goal Involvement]]/players[[#This Row],[Matches]],0)</f>
        <v>0</v>
      </c>
      <c r="Q229" s="3">
        <f>players[[#This Row],[Total Goal Involvement per match]]/players[[#This Row],[Markey Value In Millions(£)]]</f>
        <v>0</v>
      </c>
      <c r="R229">
        <v>0</v>
      </c>
      <c r="S229">
        <v>0</v>
      </c>
      <c r="T229">
        <v>0</v>
      </c>
      <c r="U229">
        <v>5</v>
      </c>
      <c r="V229">
        <v>3</v>
      </c>
    </row>
    <row r="230" spans="1:22" x14ac:dyDescent="0.25">
      <c r="A230">
        <v>228</v>
      </c>
      <c r="B230" t="s">
        <v>340</v>
      </c>
      <c r="C230" t="s">
        <v>43</v>
      </c>
      <c r="D230" t="str" cm="1">
        <f t="array" ref="D23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30">
        <v>27</v>
      </c>
      <c r="F23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0" s="2">
        <v>27</v>
      </c>
      <c r="H23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0" t="s">
        <v>113</v>
      </c>
      <c r="J230" t="s">
        <v>252</v>
      </c>
      <c r="K230">
        <v>10</v>
      </c>
      <c r="L230">
        <v>2</v>
      </c>
      <c r="M230">
        <v>0</v>
      </c>
      <c r="N230">
        <v>1</v>
      </c>
      <c r="O230">
        <f>players[[#This Row],[Goals]]+players[[#This Row],[Assists]]</f>
        <v>3</v>
      </c>
      <c r="P230" s="1">
        <f>IF(players[[#This Row],[Matches]]&gt;0,players[[#This Row],[Total Goal Involvement]]/players[[#This Row],[Matches]],0)</f>
        <v>0.3</v>
      </c>
      <c r="Q230" s="3">
        <f>players[[#This Row],[Total Goal Involvement per match]]/players[[#This Row],[Markey Value In Millions(£)]]</f>
        <v>1.1111111111111112E-2</v>
      </c>
      <c r="R230">
        <v>4</v>
      </c>
      <c r="S230">
        <v>0</v>
      </c>
      <c r="T230">
        <v>0</v>
      </c>
      <c r="U230">
        <v>0</v>
      </c>
      <c r="V230">
        <v>1</v>
      </c>
    </row>
    <row r="231" spans="1:22" x14ac:dyDescent="0.25">
      <c r="A231">
        <v>229</v>
      </c>
      <c r="B231" t="s">
        <v>341</v>
      </c>
      <c r="C231" t="s">
        <v>27</v>
      </c>
      <c r="D231" t="str" cm="1">
        <f t="array" ref="D23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31">
        <v>27</v>
      </c>
      <c r="F23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1" s="2">
        <v>27</v>
      </c>
      <c r="H23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1" t="s">
        <v>62</v>
      </c>
      <c r="J231" t="s">
        <v>116</v>
      </c>
      <c r="K231">
        <v>13</v>
      </c>
      <c r="L231">
        <v>2</v>
      </c>
      <c r="M231">
        <v>0</v>
      </c>
      <c r="N231">
        <v>1</v>
      </c>
      <c r="O231">
        <f>players[[#This Row],[Goals]]+players[[#This Row],[Assists]]</f>
        <v>3</v>
      </c>
      <c r="P231" s="1">
        <f>IF(players[[#This Row],[Matches]]&gt;0,players[[#This Row],[Total Goal Involvement]]/players[[#This Row],[Matches]],0)</f>
        <v>0.23076923076923078</v>
      </c>
      <c r="Q231" s="3">
        <f>players[[#This Row],[Total Goal Involvement per match]]/players[[#This Row],[Markey Value In Millions(£)]]</f>
        <v>8.5470085470085479E-3</v>
      </c>
      <c r="R231">
        <v>2</v>
      </c>
      <c r="S231">
        <v>0</v>
      </c>
      <c r="T231">
        <v>0</v>
      </c>
      <c r="U231">
        <v>5</v>
      </c>
      <c r="V231">
        <v>5</v>
      </c>
    </row>
    <row r="232" spans="1:22" x14ac:dyDescent="0.25">
      <c r="A232">
        <v>230</v>
      </c>
      <c r="B232" t="s">
        <v>342</v>
      </c>
      <c r="C232" t="s">
        <v>71</v>
      </c>
      <c r="D232" t="str" cm="1">
        <f t="array" ref="D23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32">
        <v>27</v>
      </c>
      <c r="F23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2" s="2">
        <v>27</v>
      </c>
      <c r="H23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2" t="s">
        <v>24</v>
      </c>
      <c r="J232" t="s">
        <v>28</v>
      </c>
      <c r="K232">
        <v>5</v>
      </c>
      <c r="L232">
        <v>0</v>
      </c>
      <c r="M232">
        <v>1</v>
      </c>
      <c r="N232">
        <v>0</v>
      </c>
      <c r="O232">
        <f>players[[#This Row],[Goals]]+players[[#This Row],[Assists]]</f>
        <v>0</v>
      </c>
      <c r="P232" s="1">
        <f>IF(players[[#This Row],[Matches]]&gt;0,players[[#This Row],[Total Goal Involvement]]/players[[#This Row],[Matches]],0)</f>
        <v>0</v>
      </c>
      <c r="Q232" s="3">
        <f>players[[#This Row],[Total Goal Involvement per match]]/players[[#This Row],[Markey Value In Millions(£)]]</f>
        <v>0</v>
      </c>
      <c r="R232">
        <v>0</v>
      </c>
      <c r="S232">
        <v>0</v>
      </c>
      <c r="T232">
        <v>0</v>
      </c>
      <c r="U232">
        <v>1</v>
      </c>
      <c r="V232">
        <v>0</v>
      </c>
    </row>
    <row r="233" spans="1:22" x14ac:dyDescent="0.25">
      <c r="A233">
        <v>231</v>
      </c>
      <c r="B233" t="s">
        <v>343</v>
      </c>
      <c r="C233" t="s">
        <v>43</v>
      </c>
      <c r="D233" t="str" cm="1">
        <f t="array" ref="D23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33">
        <v>26</v>
      </c>
      <c r="F23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3" s="2">
        <v>27</v>
      </c>
      <c r="H23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3" t="s">
        <v>18</v>
      </c>
      <c r="J233" t="s">
        <v>88</v>
      </c>
      <c r="K233">
        <v>11</v>
      </c>
      <c r="L233">
        <v>0</v>
      </c>
      <c r="M233">
        <v>0</v>
      </c>
      <c r="N233">
        <v>1</v>
      </c>
      <c r="O233">
        <f>players[[#This Row],[Goals]]+players[[#This Row],[Assists]]</f>
        <v>1</v>
      </c>
      <c r="P233" s="1">
        <f>IF(players[[#This Row],[Matches]]&gt;0,players[[#This Row],[Total Goal Involvement]]/players[[#This Row],[Matches]],0)</f>
        <v>9.0909090909090912E-2</v>
      </c>
      <c r="Q233" s="3">
        <f>players[[#This Row],[Total Goal Involvement per match]]/players[[#This Row],[Markey Value In Millions(£)]]</f>
        <v>3.3670033670033673E-3</v>
      </c>
      <c r="R233">
        <v>0</v>
      </c>
      <c r="S233">
        <v>0</v>
      </c>
      <c r="T233">
        <v>0</v>
      </c>
      <c r="U233">
        <v>1</v>
      </c>
      <c r="V233">
        <v>6</v>
      </c>
    </row>
    <row r="234" spans="1:22" x14ac:dyDescent="0.25">
      <c r="A234">
        <v>232</v>
      </c>
      <c r="B234" t="s">
        <v>344</v>
      </c>
      <c r="C234" t="s">
        <v>49</v>
      </c>
      <c r="D234" t="str" cm="1">
        <f t="array" ref="D23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34">
        <v>26</v>
      </c>
      <c r="F23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4" s="2">
        <v>27</v>
      </c>
      <c r="H23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4" t="s">
        <v>34</v>
      </c>
      <c r="J234" t="s">
        <v>204</v>
      </c>
      <c r="K234">
        <v>9</v>
      </c>
      <c r="L234">
        <v>1</v>
      </c>
      <c r="M234">
        <v>0</v>
      </c>
      <c r="N234">
        <v>3</v>
      </c>
      <c r="O234">
        <f>players[[#This Row],[Goals]]+players[[#This Row],[Assists]]</f>
        <v>4</v>
      </c>
      <c r="P234" s="1">
        <f>IF(players[[#This Row],[Matches]]&gt;0,players[[#This Row],[Total Goal Involvement]]/players[[#This Row],[Matches]],0)</f>
        <v>0.44444444444444442</v>
      </c>
      <c r="Q234" s="3">
        <f>players[[#This Row],[Total Goal Involvement per match]]/players[[#This Row],[Markey Value In Millions(£)]]</f>
        <v>1.6460905349794237E-2</v>
      </c>
      <c r="R234">
        <v>1</v>
      </c>
      <c r="S234">
        <v>0</v>
      </c>
      <c r="T234">
        <v>0</v>
      </c>
      <c r="U234">
        <v>4</v>
      </c>
      <c r="V234">
        <v>0</v>
      </c>
    </row>
    <row r="235" spans="1:22" x14ac:dyDescent="0.25">
      <c r="A235">
        <v>233</v>
      </c>
      <c r="B235" t="s">
        <v>345</v>
      </c>
      <c r="C235" t="s">
        <v>30</v>
      </c>
      <c r="D235" t="str" cm="1">
        <f t="array" ref="D23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35">
        <v>28</v>
      </c>
      <c r="F23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5" s="2">
        <v>27</v>
      </c>
      <c r="H23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5" t="s">
        <v>87</v>
      </c>
      <c r="J235" t="s">
        <v>119</v>
      </c>
      <c r="K235">
        <v>16</v>
      </c>
      <c r="L235">
        <v>2</v>
      </c>
      <c r="M235">
        <v>0</v>
      </c>
      <c r="N235">
        <v>4</v>
      </c>
      <c r="O235">
        <f>players[[#This Row],[Goals]]+players[[#This Row],[Assists]]</f>
        <v>6</v>
      </c>
      <c r="P235" s="1">
        <f>IF(players[[#This Row],[Matches]]&gt;0,players[[#This Row],[Total Goal Involvement]]/players[[#This Row],[Matches]],0)</f>
        <v>0.375</v>
      </c>
      <c r="Q235" s="3">
        <f>players[[#This Row],[Total Goal Involvement per match]]/players[[#This Row],[Markey Value In Millions(£)]]</f>
        <v>1.3888888888888888E-2</v>
      </c>
      <c r="R235">
        <v>1</v>
      </c>
      <c r="S235">
        <v>0</v>
      </c>
      <c r="T235">
        <v>0</v>
      </c>
      <c r="U235">
        <v>6</v>
      </c>
      <c r="V235">
        <v>10</v>
      </c>
    </row>
    <row r="236" spans="1:22" x14ac:dyDescent="0.25">
      <c r="A236">
        <v>234</v>
      </c>
      <c r="B236" t="s">
        <v>346</v>
      </c>
      <c r="C236" t="s">
        <v>43</v>
      </c>
      <c r="D236" t="str" cm="1">
        <f t="array" ref="D23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36">
        <v>27</v>
      </c>
      <c r="F23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6" s="2">
        <v>27</v>
      </c>
      <c r="H23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6" t="s">
        <v>183</v>
      </c>
      <c r="J236" t="s">
        <v>63</v>
      </c>
      <c r="K236">
        <v>12</v>
      </c>
      <c r="L236">
        <v>2</v>
      </c>
      <c r="M236">
        <v>0</v>
      </c>
      <c r="N236">
        <v>3</v>
      </c>
      <c r="O236">
        <f>players[[#This Row],[Goals]]+players[[#This Row],[Assists]]</f>
        <v>5</v>
      </c>
      <c r="P236" s="1">
        <f>IF(players[[#This Row],[Matches]]&gt;0,players[[#This Row],[Total Goal Involvement]]/players[[#This Row],[Matches]],0)</f>
        <v>0.41666666666666669</v>
      </c>
      <c r="Q236" s="3">
        <f>players[[#This Row],[Total Goal Involvement per match]]/players[[#This Row],[Markey Value In Millions(£)]]</f>
        <v>1.54320987654321E-2</v>
      </c>
      <c r="R236">
        <v>2</v>
      </c>
      <c r="S236">
        <v>0</v>
      </c>
      <c r="T236">
        <v>0</v>
      </c>
      <c r="U236">
        <v>2</v>
      </c>
      <c r="V236">
        <v>9</v>
      </c>
    </row>
    <row r="237" spans="1:22" x14ac:dyDescent="0.25">
      <c r="A237">
        <v>235</v>
      </c>
      <c r="B237" t="s">
        <v>347</v>
      </c>
      <c r="C237" t="s">
        <v>348</v>
      </c>
      <c r="D237" t="str" cm="1">
        <f t="array" ref="D23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37">
        <v>28</v>
      </c>
      <c r="F23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7" s="2">
        <v>27</v>
      </c>
      <c r="H23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7" t="s">
        <v>185</v>
      </c>
      <c r="J237" t="s">
        <v>349</v>
      </c>
      <c r="K237">
        <v>10</v>
      </c>
      <c r="L237">
        <v>0</v>
      </c>
      <c r="M237">
        <v>0</v>
      </c>
      <c r="N237">
        <v>2</v>
      </c>
      <c r="O237">
        <f>players[[#This Row],[Goals]]+players[[#This Row],[Assists]]</f>
        <v>2</v>
      </c>
      <c r="P237" s="1">
        <f>IF(players[[#This Row],[Matches]]&gt;0,players[[#This Row],[Total Goal Involvement]]/players[[#This Row],[Matches]],0)</f>
        <v>0.2</v>
      </c>
      <c r="Q237" s="3">
        <f>players[[#This Row],[Total Goal Involvement per match]]/players[[#This Row],[Markey Value In Millions(£)]]</f>
        <v>7.4074074074074077E-3</v>
      </c>
      <c r="R237">
        <v>1</v>
      </c>
      <c r="S237">
        <v>0</v>
      </c>
      <c r="T237">
        <v>0</v>
      </c>
      <c r="U237">
        <v>4</v>
      </c>
      <c r="V237">
        <v>3</v>
      </c>
    </row>
    <row r="238" spans="1:22" x14ac:dyDescent="0.25">
      <c r="A238">
        <v>236</v>
      </c>
      <c r="B238" t="s">
        <v>350</v>
      </c>
      <c r="C238" t="s">
        <v>17</v>
      </c>
      <c r="D238" t="str" cm="1">
        <f t="array" ref="D23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38">
        <v>30</v>
      </c>
      <c r="F238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238" s="2">
        <v>27</v>
      </c>
      <c r="H23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8" t="s">
        <v>296</v>
      </c>
      <c r="J238" t="s">
        <v>277</v>
      </c>
      <c r="K238">
        <v>9</v>
      </c>
      <c r="L238">
        <v>1</v>
      </c>
      <c r="M238">
        <v>0</v>
      </c>
      <c r="N238">
        <v>1</v>
      </c>
      <c r="O238">
        <f>players[[#This Row],[Goals]]+players[[#This Row],[Assists]]</f>
        <v>2</v>
      </c>
      <c r="P238" s="1">
        <f>IF(players[[#This Row],[Matches]]&gt;0,players[[#This Row],[Total Goal Involvement]]/players[[#This Row],[Matches]],0)</f>
        <v>0.22222222222222221</v>
      </c>
      <c r="Q238" s="3">
        <f>players[[#This Row],[Total Goal Involvement per match]]/players[[#This Row],[Markey Value In Millions(£)]]</f>
        <v>8.2304526748971183E-3</v>
      </c>
      <c r="R238">
        <v>0</v>
      </c>
      <c r="S238">
        <v>0</v>
      </c>
      <c r="T238">
        <v>0</v>
      </c>
      <c r="U238">
        <v>5</v>
      </c>
      <c r="V238">
        <v>4</v>
      </c>
    </row>
    <row r="239" spans="1:22" x14ac:dyDescent="0.25">
      <c r="A239">
        <v>237</v>
      </c>
      <c r="B239" t="s">
        <v>351</v>
      </c>
      <c r="C239" t="s">
        <v>17</v>
      </c>
      <c r="D239" t="str" cm="1">
        <f t="array" ref="D23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39">
        <v>29</v>
      </c>
      <c r="F23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39" s="2">
        <v>27</v>
      </c>
      <c r="H23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39" t="s">
        <v>50</v>
      </c>
      <c r="J239" t="s">
        <v>259</v>
      </c>
      <c r="K239">
        <v>20</v>
      </c>
      <c r="L239">
        <v>4</v>
      </c>
      <c r="M239">
        <v>0</v>
      </c>
      <c r="N239">
        <v>4</v>
      </c>
      <c r="O239">
        <f>players[[#This Row],[Goals]]+players[[#This Row],[Assists]]</f>
        <v>8</v>
      </c>
      <c r="P239" s="1">
        <f>IF(players[[#This Row],[Matches]]&gt;0,players[[#This Row],[Total Goal Involvement]]/players[[#This Row],[Matches]],0)</f>
        <v>0.4</v>
      </c>
      <c r="Q239" s="3">
        <f>players[[#This Row],[Total Goal Involvement per match]]/players[[#This Row],[Markey Value In Millions(£)]]</f>
        <v>1.4814814814814815E-2</v>
      </c>
      <c r="R239">
        <v>5</v>
      </c>
      <c r="S239">
        <v>0</v>
      </c>
      <c r="T239">
        <v>0</v>
      </c>
      <c r="U239">
        <v>4</v>
      </c>
      <c r="V239">
        <v>9</v>
      </c>
    </row>
    <row r="240" spans="1:22" x14ac:dyDescent="0.25">
      <c r="A240">
        <v>238</v>
      </c>
      <c r="B240" t="s">
        <v>352</v>
      </c>
      <c r="C240" t="s">
        <v>75</v>
      </c>
      <c r="D240" t="str" cm="1">
        <f t="array" ref="D24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40">
        <v>32</v>
      </c>
      <c r="F240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240" s="2">
        <v>27</v>
      </c>
      <c r="H24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0" t="s">
        <v>50</v>
      </c>
      <c r="J240" t="s">
        <v>51</v>
      </c>
      <c r="K240">
        <v>18</v>
      </c>
      <c r="L240">
        <v>6</v>
      </c>
      <c r="M240">
        <v>0</v>
      </c>
      <c r="N240">
        <v>12</v>
      </c>
      <c r="O240">
        <f>players[[#This Row],[Goals]]+players[[#This Row],[Assists]]</f>
        <v>18</v>
      </c>
      <c r="P240" s="1">
        <f>IF(players[[#This Row],[Matches]]&gt;0,players[[#This Row],[Total Goal Involvement]]/players[[#This Row],[Matches]],0)</f>
        <v>1</v>
      </c>
      <c r="Q240" s="3">
        <f>players[[#This Row],[Total Goal Involvement per match]]/players[[#This Row],[Markey Value In Millions(£)]]</f>
        <v>3.7037037037037035E-2</v>
      </c>
      <c r="R240">
        <v>0</v>
      </c>
      <c r="S240">
        <v>0</v>
      </c>
      <c r="T240">
        <v>0</v>
      </c>
      <c r="U240">
        <v>1</v>
      </c>
      <c r="V240">
        <v>11</v>
      </c>
    </row>
    <row r="241" spans="1:22" x14ac:dyDescent="0.25">
      <c r="A241">
        <v>239</v>
      </c>
      <c r="B241" t="s">
        <v>353</v>
      </c>
      <c r="C241" t="s">
        <v>43</v>
      </c>
      <c r="D241" t="str" cm="1">
        <f t="array" ref="D24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41">
        <v>31</v>
      </c>
      <c r="F241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241" s="2">
        <v>27</v>
      </c>
      <c r="H24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1" t="s">
        <v>44</v>
      </c>
      <c r="J241" t="s">
        <v>19</v>
      </c>
      <c r="K241">
        <v>17</v>
      </c>
      <c r="L241">
        <v>2</v>
      </c>
      <c r="M241">
        <v>0</v>
      </c>
      <c r="N241">
        <v>1</v>
      </c>
      <c r="O241">
        <f>players[[#This Row],[Goals]]+players[[#This Row],[Assists]]</f>
        <v>3</v>
      </c>
      <c r="P241" s="1">
        <f>IF(players[[#This Row],[Matches]]&gt;0,players[[#This Row],[Total Goal Involvement]]/players[[#This Row],[Matches]],0)</f>
        <v>0.17647058823529413</v>
      </c>
      <c r="Q241" s="3">
        <f>players[[#This Row],[Total Goal Involvement per match]]/players[[#This Row],[Markey Value In Millions(£)]]</f>
        <v>6.5359477124183009E-3</v>
      </c>
      <c r="R241">
        <v>0</v>
      </c>
      <c r="S241">
        <v>0</v>
      </c>
      <c r="T241">
        <v>0</v>
      </c>
      <c r="U241">
        <v>8</v>
      </c>
      <c r="V241">
        <v>6</v>
      </c>
    </row>
    <row r="242" spans="1:22" x14ac:dyDescent="0.25">
      <c r="A242">
        <v>240</v>
      </c>
      <c r="B242" t="s">
        <v>354</v>
      </c>
      <c r="C242" t="s">
        <v>43</v>
      </c>
      <c r="D242" t="str" cm="1">
        <f t="array" ref="D24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42">
        <v>31</v>
      </c>
      <c r="F242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242" s="2">
        <v>27</v>
      </c>
      <c r="H24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2" t="s">
        <v>50</v>
      </c>
      <c r="J242" t="s">
        <v>102</v>
      </c>
      <c r="K242">
        <v>8</v>
      </c>
      <c r="L242">
        <v>1</v>
      </c>
      <c r="M242">
        <v>0</v>
      </c>
      <c r="N242">
        <v>0</v>
      </c>
      <c r="O242">
        <f>players[[#This Row],[Goals]]+players[[#This Row],[Assists]]</f>
        <v>1</v>
      </c>
      <c r="P242" s="1">
        <f>IF(players[[#This Row],[Matches]]&gt;0,players[[#This Row],[Total Goal Involvement]]/players[[#This Row],[Matches]],0)</f>
        <v>0.125</v>
      </c>
      <c r="Q242" s="3">
        <f>players[[#This Row],[Total Goal Involvement per match]]/players[[#This Row],[Markey Value In Millions(£)]]</f>
        <v>4.6296296296296294E-3</v>
      </c>
      <c r="R242">
        <v>1</v>
      </c>
      <c r="S242">
        <v>0</v>
      </c>
      <c r="T242">
        <v>0</v>
      </c>
      <c r="U242">
        <v>1</v>
      </c>
      <c r="V242">
        <v>2</v>
      </c>
    </row>
    <row r="243" spans="1:22" x14ac:dyDescent="0.25">
      <c r="A243">
        <v>241</v>
      </c>
      <c r="B243" t="s">
        <v>355</v>
      </c>
      <c r="C243" t="s">
        <v>71</v>
      </c>
      <c r="D243" t="str" cm="1">
        <f t="array" ref="D24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43">
        <v>20</v>
      </c>
      <c r="F243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3" s="2">
        <v>25.2</v>
      </c>
      <c r="H24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3" t="s">
        <v>18</v>
      </c>
      <c r="J243" t="s">
        <v>259</v>
      </c>
      <c r="K243">
        <v>22</v>
      </c>
      <c r="L243">
        <v>0</v>
      </c>
      <c r="M243">
        <v>0</v>
      </c>
      <c r="N243">
        <v>0</v>
      </c>
      <c r="O243">
        <f>players[[#This Row],[Goals]]+players[[#This Row],[Assists]]</f>
        <v>0</v>
      </c>
      <c r="P243" s="1">
        <f>IF(players[[#This Row],[Matches]]&gt;0,players[[#This Row],[Total Goal Involvement]]/players[[#This Row],[Matches]],0)</f>
        <v>0</v>
      </c>
      <c r="Q243" s="3">
        <f>players[[#This Row],[Total Goal Involvement per match]]/players[[#This Row],[Markey Value In Millions(£)]]</f>
        <v>0</v>
      </c>
      <c r="R243">
        <v>6</v>
      </c>
      <c r="S243">
        <v>0</v>
      </c>
      <c r="T243">
        <v>0</v>
      </c>
      <c r="U243">
        <v>2</v>
      </c>
      <c r="V243">
        <v>2</v>
      </c>
    </row>
    <row r="244" spans="1:22" x14ac:dyDescent="0.25">
      <c r="A244">
        <v>242</v>
      </c>
      <c r="B244" t="s">
        <v>356</v>
      </c>
      <c r="C244" t="s">
        <v>71</v>
      </c>
      <c r="D244" t="str" cm="1">
        <f t="array" ref="D24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44">
        <v>21</v>
      </c>
      <c r="F244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4" s="2">
        <v>25.2</v>
      </c>
      <c r="H24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4" t="s">
        <v>18</v>
      </c>
      <c r="J244" t="s">
        <v>333</v>
      </c>
      <c r="K244">
        <v>14</v>
      </c>
      <c r="L244">
        <v>0</v>
      </c>
      <c r="M244">
        <v>0</v>
      </c>
      <c r="N244">
        <v>0</v>
      </c>
      <c r="O244">
        <f>players[[#This Row],[Goals]]+players[[#This Row],[Assists]]</f>
        <v>0</v>
      </c>
      <c r="P244" s="1">
        <f>IF(players[[#This Row],[Matches]]&gt;0,players[[#This Row],[Total Goal Involvement]]/players[[#This Row],[Matches]],0)</f>
        <v>0</v>
      </c>
      <c r="Q244" s="3">
        <f>players[[#This Row],[Total Goal Involvement per match]]/players[[#This Row],[Markey Value In Millions(£)]]</f>
        <v>0</v>
      </c>
      <c r="R244">
        <v>3</v>
      </c>
      <c r="S244">
        <v>1</v>
      </c>
      <c r="T244">
        <v>1</v>
      </c>
      <c r="U244">
        <v>0</v>
      </c>
      <c r="V244">
        <v>2</v>
      </c>
    </row>
    <row r="245" spans="1:22" x14ac:dyDescent="0.25">
      <c r="A245">
        <v>243</v>
      </c>
      <c r="B245" t="s">
        <v>357</v>
      </c>
      <c r="C245" t="s">
        <v>49</v>
      </c>
      <c r="D245" t="str" cm="1">
        <f t="array" ref="D24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45">
        <v>21</v>
      </c>
      <c r="F245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5" s="2">
        <v>25.2</v>
      </c>
      <c r="H24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5" t="s">
        <v>18</v>
      </c>
      <c r="J245" t="s">
        <v>358</v>
      </c>
      <c r="K245">
        <v>14</v>
      </c>
      <c r="L245">
        <v>1</v>
      </c>
      <c r="M245">
        <v>0</v>
      </c>
      <c r="N245">
        <v>0</v>
      </c>
      <c r="O245">
        <f>players[[#This Row],[Goals]]+players[[#This Row],[Assists]]</f>
        <v>1</v>
      </c>
      <c r="P245" s="1">
        <f>IF(players[[#This Row],[Matches]]&gt;0,players[[#This Row],[Total Goal Involvement]]/players[[#This Row],[Matches]],0)</f>
        <v>7.1428571428571425E-2</v>
      </c>
      <c r="Q245" s="3">
        <f>players[[#This Row],[Total Goal Involvement per match]]/players[[#This Row],[Markey Value In Millions(£)]]</f>
        <v>2.8344671201814059E-3</v>
      </c>
      <c r="R245">
        <v>4</v>
      </c>
      <c r="S245">
        <v>0</v>
      </c>
      <c r="T245">
        <v>0</v>
      </c>
      <c r="U245">
        <v>3</v>
      </c>
      <c r="V245">
        <v>3</v>
      </c>
    </row>
    <row r="246" spans="1:22" x14ac:dyDescent="0.25">
      <c r="A246">
        <v>244</v>
      </c>
      <c r="B246" t="s">
        <v>359</v>
      </c>
      <c r="C246" t="s">
        <v>37</v>
      </c>
      <c r="D246" t="str" cm="1">
        <f t="array" ref="D24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46">
        <v>21</v>
      </c>
      <c r="F246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6" s="2">
        <v>25.2</v>
      </c>
      <c r="H24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6" t="s">
        <v>24</v>
      </c>
      <c r="J246" t="s">
        <v>107</v>
      </c>
      <c r="K246">
        <v>15</v>
      </c>
      <c r="L246">
        <v>6</v>
      </c>
      <c r="M246">
        <v>0</v>
      </c>
      <c r="N246">
        <v>2</v>
      </c>
      <c r="O246">
        <f>players[[#This Row],[Goals]]+players[[#This Row],[Assists]]</f>
        <v>8</v>
      </c>
      <c r="P246" s="1">
        <f>IF(players[[#This Row],[Matches]]&gt;0,players[[#This Row],[Total Goal Involvement]]/players[[#This Row],[Matches]],0)</f>
        <v>0.53333333333333333</v>
      </c>
      <c r="Q246" s="3">
        <f>players[[#This Row],[Total Goal Involvement per match]]/players[[#This Row],[Markey Value In Millions(£)]]</f>
        <v>2.1164021164021163E-2</v>
      </c>
      <c r="R246">
        <v>0</v>
      </c>
      <c r="S246">
        <v>0</v>
      </c>
      <c r="T246">
        <v>0</v>
      </c>
      <c r="U246">
        <v>2</v>
      </c>
      <c r="V246">
        <v>6</v>
      </c>
    </row>
    <row r="247" spans="1:22" x14ac:dyDescent="0.25">
      <c r="A247">
        <v>245</v>
      </c>
      <c r="B247" t="s">
        <v>360</v>
      </c>
      <c r="C247" t="s">
        <v>71</v>
      </c>
      <c r="D247" t="str" cm="1">
        <f t="array" ref="D24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47">
        <v>22</v>
      </c>
      <c r="F247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7" s="2">
        <v>25.2</v>
      </c>
      <c r="H24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7" t="s">
        <v>18</v>
      </c>
      <c r="J247" t="s">
        <v>361</v>
      </c>
      <c r="K247">
        <v>13</v>
      </c>
      <c r="L247">
        <v>0</v>
      </c>
      <c r="M247">
        <v>0</v>
      </c>
      <c r="N247">
        <v>1</v>
      </c>
      <c r="O247">
        <f>players[[#This Row],[Goals]]+players[[#This Row],[Assists]]</f>
        <v>1</v>
      </c>
      <c r="P247" s="1">
        <f>IF(players[[#This Row],[Matches]]&gt;0,players[[#This Row],[Total Goal Involvement]]/players[[#This Row],[Matches]],0)</f>
        <v>7.6923076923076927E-2</v>
      </c>
      <c r="Q247" s="3">
        <f>players[[#This Row],[Total Goal Involvement per match]]/players[[#This Row],[Markey Value In Millions(£)]]</f>
        <v>3.0525030525030529E-3</v>
      </c>
      <c r="R247">
        <v>2</v>
      </c>
      <c r="S247">
        <v>0</v>
      </c>
      <c r="T247">
        <v>0</v>
      </c>
      <c r="U247">
        <v>1</v>
      </c>
      <c r="V247">
        <v>0</v>
      </c>
    </row>
    <row r="248" spans="1:22" x14ac:dyDescent="0.25">
      <c r="A248">
        <v>246</v>
      </c>
      <c r="B248" t="s">
        <v>362</v>
      </c>
      <c r="C248" t="s">
        <v>71</v>
      </c>
      <c r="D248" t="str" cm="1">
        <f t="array" ref="D24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48">
        <v>21</v>
      </c>
      <c r="F248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8" s="2">
        <v>25.2</v>
      </c>
      <c r="H24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8" t="s">
        <v>44</v>
      </c>
      <c r="J248" t="s">
        <v>249</v>
      </c>
      <c r="K248">
        <v>15</v>
      </c>
      <c r="L248">
        <v>2</v>
      </c>
      <c r="M248">
        <v>0</v>
      </c>
      <c r="N248">
        <v>0</v>
      </c>
      <c r="O248">
        <f>players[[#This Row],[Goals]]+players[[#This Row],[Assists]]</f>
        <v>2</v>
      </c>
      <c r="P248" s="1">
        <f>IF(players[[#This Row],[Matches]]&gt;0,players[[#This Row],[Total Goal Involvement]]/players[[#This Row],[Matches]],0)</f>
        <v>0.13333333333333333</v>
      </c>
      <c r="Q248" s="3">
        <f>players[[#This Row],[Total Goal Involvement per match]]/players[[#This Row],[Markey Value In Millions(£)]]</f>
        <v>5.2910052910052907E-3</v>
      </c>
      <c r="R248">
        <v>2</v>
      </c>
      <c r="S248">
        <v>0</v>
      </c>
      <c r="T248">
        <v>0</v>
      </c>
      <c r="U248">
        <v>0</v>
      </c>
      <c r="V248">
        <v>1</v>
      </c>
    </row>
    <row r="249" spans="1:22" x14ac:dyDescent="0.25">
      <c r="A249">
        <v>247</v>
      </c>
      <c r="B249" t="s">
        <v>363</v>
      </c>
      <c r="C249" t="s">
        <v>49</v>
      </c>
      <c r="D249" t="str" cm="1">
        <f t="array" ref="D24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49">
        <v>22</v>
      </c>
      <c r="F249" t="str">
        <f>IF(players[[#This Row],[Age]]&gt;34,"Veterans",IF(players[[#This Row],[Age]]&gt;29,"Experienced",IF(players[[#This Row],[Age]]&gt;23,"Career peak",IF(players[[#This Row],[Age]]&gt;19,"Young","Teenagers"))))</f>
        <v>Young</v>
      </c>
      <c r="G249" s="2">
        <v>25.2</v>
      </c>
      <c r="H24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49" t="s">
        <v>18</v>
      </c>
      <c r="J249" t="s">
        <v>124</v>
      </c>
      <c r="K249">
        <v>15</v>
      </c>
      <c r="L249">
        <v>0</v>
      </c>
      <c r="M249">
        <v>0</v>
      </c>
      <c r="N249">
        <v>1</v>
      </c>
      <c r="O249">
        <f>players[[#This Row],[Goals]]+players[[#This Row],[Assists]]</f>
        <v>1</v>
      </c>
      <c r="P249" s="1">
        <f>IF(players[[#This Row],[Matches]]&gt;0,players[[#This Row],[Total Goal Involvement]]/players[[#This Row],[Matches]],0)</f>
        <v>6.6666666666666666E-2</v>
      </c>
      <c r="Q249" s="3">
        <f>players[[#This Row],[Total Goal Involvement per match]]/players[[#This Row],[Markey Value In Millions(£)]]</f>
        <v>2.6455026455026454E-3</v>
      </c>
      <c r="R249">
        <v>2</v>
      </c>
      <c r="S249">
        <v>0</v>
      </c>
      <c r="T249">
        <v>0</v>
      </c>
      <c r="U249">
        <v>5</v>
      </c>
      <c r="V249">
        <v>4</v>
      </c>
    </row>
    <row r="250" spans="1:22" x14ac:dyDescent="0.25">
      <c r="A250">
        <v>248</v>
      </c>
      <c r="B250" t="s">
        <v>364</v>
      </c>
      <c r="C250" t="s">
        <v>71</v>
      </c>
      <c r="D250" t="str" cm="1">
        <f t="array" ref="D25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50">
        <v>23</v>
      </c>
      <c r="F250" t="str">
        <f>IF(players[[#This Row],[Age]]&gt;34,"Veterans",IF(players[[#This Row],[Age]]&gt;29,"Experienced",IF(players[[#This Row],[Age]]&gt;23,"Career peak",IF(players[[#This Row],[Age]]&gt;19,"Young","Teenagers"))))</f>
        <v>Young</v>
      </c>
      <c r="G250" s="2">
        <v>25.2</v>
      </c>
      <c r="H25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0" t="s">
        <v>183</v>
      </c>
      <c r="J250" t="s">
        <v>277</v>
      </c>
      <c r="K250">
        <v>12</v>
      </c>
      <c r="L250">
        <v>1</v>
      </c>
      <c r="M250">
        <v>0</v>
      </c>
      <c r="N250">
        <v>1</v>
      </c>
      <c r="O250">
        <f>players[[#This Row],[Goals]]+players[[#This Row],[Assists]]</f>
        <v>2</v>
      </c>
      <c r="P250" s="1">
        <f>IF(players[[#This Row],[Matches]]&gt;0,players[[#This Row],[Total Goal Involvement]]/players[[#This Row],[Matches]],0)</f>
        <v>0.16666666666666666</v>
      </c>
      <c r="Q250" s="3">
        <f>players[[#This Row],[Total Goal Involvement per match]]/players[[#This Row],[Markey Value In Millions(£)]]</f>
        <v>6.6137566137566134E-3</v>
      </c>
      <c r="R250">
        <v>3</v>
      </c>
      <c r="S250">
        <v>0</v>
      </c>
      <c r="T250">
        <v>0</v>
      </c>
      <c r="U250">
        <v>1</v>
      </c>
      <c r="V250">
        <v>4</v>
      </c>
    </row>
    <row r="251" spans="1:22" x14ac:dyDescent="0.25">
      <c r="A251">
        <v>249</v>
      </c>
      <c r="B251" t="s">
        <v>365</v>
      </c>
      <c r="C251" t="s">
        <v>27</v>
      </c>
      <c r="D251" t="str" cm="1">
        <f t="array" ref="D25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51">
        <v>24</v>
      </c>
      <c r="F25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1" s="2">
        <v>25.2</v>
      </c>
      <c r="H25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1" t="s">
        <v>18</v>
      </c>
      <c r="J251" t="s">
        <v>366</v>
      </c>
      <c r="K251">
        <v>5</v>
      </c>
      <c r="L251">
        <v>0</v>
      </c>
      <c r="M251">
        <v>0</v>
      </c>
      <c r="N251">
        <v>0</v>
      </c>
      <c r="O251">
        <f>players[[#This Row],[Goals]]+players[[#This Row],[Assists]]</f>
        <v>0</v>
      </c>
      <c r="P251" s="1">
        <f>IF(players[[#This Row],[Matches]]&gt;0,players[[#This Row],[Total Goal Involvement]]/players[[#This Row],[Matches]],0)</f>
        <v>0</v>
      </c>
      <c r="Q251" s="3">
        <f>players[[#This Row],[Total Goal Involvement per match]]/players[[#This Row],[Markey Value In Millions(£)]]</f>
        <v>0</v>
      </c>
      <c r="R251">
        <v>0</v>
      </c>
      <c r="S251">
        <v>0</v>
      </c>
      <c r="T251">
        <v>0</v>
      </c>
      <c r="U251">
        <v>4</v>
      </c>
      <c r="V251">
        <v>1</v>
      </c>
    </row>
    <row r="252" spans="1:22" x14ac:dyDescent="0.25">
      <c r="A252">
        <v>250</v>
      </c>
      <c r="B252" t="s">
        <v>367</v>
      </c>
      <c r="C252" t="s">
        <v>43</v>
      </c>
      <c r="D252" t="str" cm="1">
        <f t="array" ref="D25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52">
        <v>24</v>
      </c>
      <c r="F25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2" s="2">
        <v>25.2</v>
      </c>
      <c r="H25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2" t="s">
        <v>50</v>
      </c>
      <c r="J252" t="s">
        <v>366</v>
      </c>
      <c r="K252">
        <v>11</v>
      </c>
      <c r="L252">
        <v>1</v>
      </c>
      <c r="M252">
        <v>0</v>
      </c>
      <c r="N252">
        <v>0</v>
      </c>
      <c r="O252">
        <f>players[[#This Row],[Goals]]+players[[#This Row],[Assists]]</f>
        <v>1</v>
      </c>
      <c r="P252" s="1">
        <f>IF(players[[#This Row],[Matches]]&gt;0,players[[#This Row],[Total Goal Involvement]]/players[[#This Row],[Matches]],0)</f>
        <v>9.0909090909090912E-2</v>
      </c>
      <c r="Q252" s="3">
        <f>players[[#This Row],[Total Goal Involvement per match]]/players[[#This Row],[Markey Value In Millions(£)]]</f>
        <v>3.6075036075036075E-3</v>
      </c>
      <c r="R252">
        <v>1</v>
      </c>
      <c r="S252">
        <v>0</v>
      </c>
      <c r="T252">
        <v>0</v>
      </c>
      <c r="U252">
        <v>5</v>
      </c>
      <c r="V252">
        <v>4</v>
      </c>
    </row>
    <row r="253" spans="1:22" x14ac:dyDescent="0.25">
      <c r="A253">
        <v>251</v>
      </c>
      <c r="B253" t="s">
        <v>368</v>
      </c>
      <c r="C253" t="s">
        <v>37</v>
      </c>
      <c r="D253" t="str" cm="1">
        <f t="array" ref="D25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53">
        <v>25</v>
      </c>
      <c r="F25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3" s="2">
        <v>25.2</v>
      </c>
      <c r="H25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3" t="s">
        <v>369</v>
      </c>
      <c r="J253" t="s">
        <v>259</v>
      </c>
      <c r="K253">
        <v>16</v>
      </c>
      <c r="L253">
        <v>3</v>
      </c>
      <c r="M253">
        <v>0</v>
      </c>
      <c r="N253">
        <v>3</v>
      </c>
      <c r="O253">
        <f>players[[#This Row],[Goals]]+players[[#This Row],[Assists]]</f>
        <v>6</v>
      </c>
      <c r="P253" s="1">
        <f>IF(players[[#This Row],[Matches]]&gt;0,players[[#This Row],[Total Goal Involvement]]/players[[#This Row],[Matches]],0)</f>
        <v>0.375</v>
      </c>
      <c r="Q253" s="3">
        <f>players[[#This Row],[Total Goal Involvement per match]]/players[[#This Row],[Markey Value In Millions(£)]]</f>
        <v>1.4880952380952382E-2</v>
      </c>
      <c r="R253">
        <v>2</v>
      </c>
      <c r="S253">
        <v>0</v>
      </c>
      <c r="T253">
        <v>1</v>
      </c>
      <c r="U253">
        <v>7</v>
      </c>
      <c r="V253">
        <v>8</v>
      </c>
    </row>
    <row r="254" spans="1:22" x14ac:dyDescent="0.25">
      <c r="A254">
        <v>252</v>
      </c>
      <c r="B254" t="s">
        <v>370</v>
      </c>
      <c r="C254" t="s">
        <v>69</v>
      </c>
      <c r="D254" t="str" cm="1">
        <f t="array" ref="D25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54">
        <v>25</v>
      </c>
      <c r="F25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4" s="2">
        <v>25.2</v>
      </c>
      <c r="H25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4" t="s">
        <v>34</v>
      </c>
      <c r="J254" t="s">
        <v>124</v>
      </c>
      <c r="K254">
        <v>12</v>
      </c>
      <c r="L254">
        <v>0</v>
      </c>
      <c r="M254">
        <v>0</v>
      </c>
      <c r="N254">
        <v>0</v>
      </c>
      <c r="O254">
        <f>players[[#This Row],[Goals]]+players[[#This Row],[Assists]]</f>
        <v>0</v>
      </c>
      <c r="P254" s="1">
        <f>IF(players[[#This Row],[Matches]]&gt;0,players[[#This Row],[Total Goal Involvement]]/players[[#This Row],[Matches]],0)</f>
        <v>0</v>
      </c>
      <c r="Q254" s="3">
        <f>players[[#This Row],[Total Goal Involvement per match]]/players[[#This Row],[Markey Value In Millions(£)]]</f>
        <v>0</v>
      </c>
      <c r="R254">
        <v>0</v>
      </c>
      <c r="S254">
        <v>0</v>
      </c>
      <c r="T254">
        <v>0</v>
      </c>
      <c r="U254">
        <v>3</v>
      </c>
      <c r="V254">
        <v>0</v>
      </c>
    </row>
    <row r="255" spans="1:22" x14ac:dyDescent="0.25">
      <c r="A255">
        <v>253</v>
      </c>
      <c r="B255" t="s">
        <v>371</v>
      </c>
      <c r="C255" t="s">
        <v>17</v>
      </c>
      <c r="D255" t="str" cm="1">
        <f t="array" ref="D25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55">
        <v>25</v>
      </c>
      <c r="F25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5" s="2">
        <v>25.2</v>
      </c>
      <c r="H25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5" t="s">
        <v>202</v>
      </c>
      <c r="J255" t="s">
        <v>104</v>
      </c>
      <c r="K255">
        <v>13</v>
      </c>
      <c r="L255">
        <v>8</v>
      </c>
      <c r="M255">
        <v>0</v>
      </c>
      <c r="N255">
        <v>2</v>
      </c>
      <c r="O255">
        <f>players[[#This Row],[Goals]]+players[[#This Row],[Assists]]</f>
        <v>10</v>
      </c>
      <c r="P255" s="1">
        <f>IF(players[[#This Row],[Matches]]&gt;0,players[[#This Row],[Total Goal Involvement]]/players[[#This Row],[Matches]],0)</f>
        <v>0.76923076923076927</v>
      </c>
      <c r="Q255" s="3">
        <f>players[[#This Row],[Total Goal Involvement per match]]/players[[#This Row],[Markey Value In Millions(£)]]</f>
        <v>3.0525030525030528E-2</v>
      </c>
      <c r="R255">
        <v>0</v>
      </c>
      <c r="S255">
        <v>0</v>
      </c>
      <c r="T255">
        <v>0</v>
      </c>
      <c r="U255">
        <v>3</v>
      </c>
      <c r="V255">
        <v>9</v>
      </c>
    </row>
    <row r="256" spans="1:22" x14ac:dyDescent="0.25">
      <c r="A256">
        <v>254</v>
      </c>
      <c r="B256" t="s">
        <v>372</v>
      </c>
      <c r="C256" t="s">
        <v>69</v>
      </c>
      <c r="D256" t="str" cm="1">
        <f t="array" ref="D25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56">
        <v>28</v>
      </c>
      <c r="F25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6" s="2">
        <v>25.2</v>
      </c>
      <c r="H25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6" t="s">
        <v>47</v>
      </c>
      <c r="J256" t="s">
        <v>204</v>
      </c>
      <c r="K256">
        <v>14</v>
      </c>
      <c r="L256">
        <v>0</v>
      </c>
      <c r="M256">
        <v>0</v>
      </c>
      <c r="N256">
        <v>0</v>
      </c>
      <c r="O256">
        <f>players[[#This Row],[Goals]]+players[[#This Row],[Assists]]</f>
        <v>0</v>
      </c>
      <c r="P256" s="1">
        <f>IF(players[[#This Row],[Matches]]&gt;0,players[[#This Row],[Total Goal Involvement]]/players[[#This Row],[Matches]],0)</f>
        <v>0</v>
      </c>
      <c r="Q256" s="3">
        <f>players[[#This Row],[Total Goal Involvement per match]]/players[[#This Row],[Markey Value In Millions(£)]]</f>
        <v>0</v>
      </c>
      <c r="R256">
        <v>0</v>
      </c>
      <c r="S256">
        <v>0</v>
      </c>
      <c r="T256">
        <v>0</v>
      </c>
      <c r="U256">
        <v>2</v>
      </c>
      <c r="V256">
        <v>4</v>
      </c>
    </row>
    <row r="257" spans="1:22" x14ac:dyDescent="0.25">
      <c r="A257">
        <v>255</v>
      </c>
      <c r="B257" t="s">
        <v>373</v>
      </c>
      <c r="C257" t="s">
        <v>17</v>
      </c>
      <c r="D257" t="str" cm="1">
        <f t="array" ref="D25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57">
        <v>30</v>
      </c>
      <c r="F257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257" s="2">
        <v>25.2</v>
      </c>
      <c r="H25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7" t="s">
        <v>185</v>
      </c>
      <c r="J257" t="s">
        <v>204</v>
      </c>
      <c r="K257">
        <v>11</v>
      </c>
      <c r="L257">
        <v>2</v>
      </c>
      <c r="M257">
        <v>0</v>
      </c>
      <c r="N257">
        <v>2</v>
      </c>
      <c r="O257">
        <f>players[[#This Row],[Goals]]+players[[#This Row],[Assists]]</f>
        <v>4</v>
      </c>
      <c r="P257" s="1">
        <f>IF(players[[#This Row],[Matches]]&gt;0,players[[#This Row],[Total Goal Involvement]]/players[[#This Row],[Matches]],0)</f>
        <v>0.36363636363636365</v>
      </c>
      <c r="Q257" s="3">
        <f>players[[#This Row],[Total Goal Involvement per match]]/players[[#This Row],[Markey Value In Millions(£)]]</f>
        <v>1.443001443001443E-2</v>
      </c>
      <c r="R257">
        <v>1</v>
      </c>
      <c r="S257">
        <v>0</v>
      </c>
      <c r="T257">
        <v>0</v>
      </c>
      <c r="U257">
        <v>1</v>
      </c>
      <c r="V257">
        <v>1</v>
      </c>
    </row>
    <row r="258" spans="1:22" x14ac:dyDescent="0.25">
      <c r="A258">
        <v>256</v>
      </c>
      <c r="B258" t="s">
        <v>374</v>
      </c>
      <c r="C258" t="s">
        <v>77</v>
      </c>
      <c r="D258" t="str" cm="1">
        <f t="array" ref="D25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58">
        <v>24</v>
      </c>
      <c r="F25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58" s="2">
        <v>25.2</v>
      </c>
      <c r="H25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8" t="s">
        <v>338</v>
      </c>
      <c r="J258" t="s">
        <v>28</v>
      </c>
      <c r="K258">
        <v>7</v>
      </c>
      <c r="L258">
        <v>0</v>
      </c>
      <c r="M258">
        <v>0</v>
      </c>
      <c r="N258">
        <v>0</v>
      </c>
      <c r="O258">
        <f>players[[#This Row],[Goals]]+players[[#This Row],[Assists]]</f>
        <v>0</v>
      </c>
      <c r="P258" s="1">
        <f>IF(players[[#This Row],[Matches]]&gt;0,players[[#This Row],[Total Goal Involvement]]/players[[#This Row],[Matches]],0)</f>
        <v>0</v>
      </c>
      <c r="Q258" s="3">
        <f>players[[#This Row],[Total Goal Involvement per match]]/players[[#This Row],[Markey Value In Millions(£)]]</f>
        <v>0</v>
      </c>
      <c r="R258">
        <v>2</v>
      </c>
      <c r="S258">
        <v>0</v>
      </c>
      <c r="T258">
        <v>0</v>
      </c>
      <c r="U258">
        <v>3</v>
      </c>
      <c r="V258">
        <v>0</v>
      </c>
    </row>
    <row r="259" spans="1:22" x14ac:dyDescent="0.25">
      <c r="A259">
        <v>257</v>
      </c>
      <c r="B259" t="s">
        <v>375</v>
      </c>
      <c r="C259" t="s">
        <v>69</v>
      </c>
      <c r="D259" t="str" cm="1">
        <f t="array" ref="D25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59">
        <v>31</v>
      </c>
      <c r="F259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259" s="2">
        <v>25.2</v>
      </c>
      <c r="H25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59" t="s">
        <v>24</v>
      </c>
      <c r="J259" t="s">
        <v>28</v>
      </c>
      <c r="K259">
        <v>13</v>
      </c>
      <c r="L259">
        <v>1</v>
      </c>
      <c r="M259">
        <v>0</v>
      </c>
      <c r="N259">
        <v>0</v>
      </c>
      <c r="O259">
        <f>players[[#This Row],[Goals]]+players[[#This Row],[Assists]]</f>
        <v>1</v>
      </c>
      <c r="P259" s="1">
        <f>IF(players[[#This Row],[Matches]]&gt;0,players[[#This Row],[Total Goal Involvement]]/players[[#This Row],[Matches]],0)</f>
        <v>7.6923076923076927E-2</v>
      </c>
      <c r="Q259" s="3">
        <f>players[[#This Row],[Total Goal Involvement per match]]/players[[#This Row],[Markey Value In Millions(£)]]</f>
        <v>3.0525030525030529E-3</v>
      </c>
      <c r="R259">
        <v>1</v>
      </c>
      <c r="S259">
        <v>0</v>
      </c>
      <c r="T259">
        <v>0</v>
      </c>
      <c r="U259">
        <v>0</v>
      </c>
      <c r="V259">
        <v>3</v>
      </c>
    </row>
    <row r="260" spans="1:22" x14ac:dyDescent="0.25">
      <c r="A260">
        <v>258</v>
      </c>
      <c r="B260" t="s">
        <v>376</v>
      </c>
      <c r="C260" t="s">
        <v>30</v>
      </c>
      <c r="D260" t="str" cm="1">
        <f t="array" ref="D26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60">
        <v>23</v>
      </c>
      <c r="F260" t="str">
        <f>IF(players[[#This Row],[Age]]&gt;34,"Veterans",IF(players[[#This Row],[Age]]&gt;29,"Experienced",IF(players[[#This Row],[Age]]&gt;23,"Career peak",IF(players[[#This Row],[Age]]&gt;19,"Young","Teenagers"))))</f>
        <v>Young</v>
      </c>
      <c r="G260" s="2">
        <v>24.3</v>
      </c>
      <c r="H26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0" t="s">
        <v>55</v>
      </c>
      <c r="J260" t="s">
        <v>377</v>
      </c>
      <c r="K260">
        <v>11</v>
      </c>
      <c r="L260">
        <v>4</v>
      </c>
      <c r="M260">
        <v>0</v>
      </c>
      <c r="N260">
        <v>0</v>
      </c>
      <c r="O260">
        <f>players[[#This Row],[Goals]]+players[[#This Row],[Assists]]</f>
        <v>4</v>
      </c>
      <c r="P260" s="1">
        <f>IF(players[[#This Row],[Matches]]&gt;0,players[[#This Row],[Total Goal Involvement]]/players[[#This Row],[Matches]],0)</f>
        <v>0.36363636363636365</v>
      </c>
      <c r="Q260" s="3">
        <f>players[[#This Row],[Total Goal Involvement per match]]/players[[#This Row],[Markey Value In Millions(£)]]</f>
        <v>1.4964459408903853E-2</v>
      </c>
      <c r="R260">
        <v>1</v>
      </c>
      <c r="S260">
        <v>0</v>
      </c>
      <c r="T260">
        <v>0</v>
      </c>
      <c r="U260">
        <v>0</v>
      </c>
      <c r="V260">
        <v>1</v>
      </c>
    </row>
    <row r="261" spans="1:22" x14ac:dyDescent="0.25">
      <c r="A261">
        <v>259</v>
      </c>
      <c r="B261" t="s">
        <v>378</v>
      </c>
      <c r="C261" t="s">
        <v>49</v>
      </c>
      <c r="D261" t="str" cm="1">
        <f t="array" ref="D26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61">
        <v>21</v>
      </c>
      <c r="F261" t="str">
        <f>IF(players[[#This Row],[Age]]&gt;34,"Veterans",IF(players[[#This Row],[Age]]&gt;29,"Experienced",IF(players[[#This Row],[Age]]&gt;23,"Career peak",IF(players[[#This Row],[Age]]&gt;19,"Young","Teenagers"))))</f>
        <v>Young</v>
      </c>
      <c r="G261" s="2">
        <v>24.3</v>
      </c>
      <c r="H26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1" t="s">
        <v>87</v>
      </c>
      <c r="J261" t="s">
        <v>141</v>
      </c>
      <c r="K261">
        <v>20</v>
      </c>
      <c r="L261">
        <v>2</v>
      </c>
      <c r="M261">
        <v>0</v>
      </c>
      <c r="N261">
        <v>7</v>
      </c>
      <c r="O261">
        <f>players[[#This Row],[Goals]]+players[[#This Row],[Assists]]</f>
        <v>9</v>
      </c>
      <c r="P261" s="1">
        <f>IF(players[[#This Row],[Matches]]&gt;0,players[[#This Row],[Total Goal Involvement]]/players[[#This Row],[Matches]],0)</f>
        <v>0.45</v>
      </c>
      <c r="Q261" s="3">
        <f>players[[#This Row],[Total Goal Involvement per match]]/players[[#This Row],[Markey Value In Millions(£)]]</f>
        <v>1.8518518518518517E-2</v>
      </c>
      <c r="R261">
        <v>3</v>
      </c>
      <c r="S261">
        <v>0</v>
      </c>
      <c r="T261">
        <v>0</v>
      </c>
      <c r="U261">
        <v>4</v>
      </c>
      <c r="V261">
        <v>7</v>
      </c>
    </row>
    <row r="262" spans="1:22" x14ac:dyDescent="0.25">
      <c r="A262">
        <v>260</v>
      </c>
      <c r="B262" t="s">
        <v>379</v>
      </c>
      <c r="C262" t="s">
        <v>49</v>
      </c>
      <c r="D262" t="str" cm="1">
        <f t="array" ref="D26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62">
        <v>24</v>
      </c>
      <c r="F26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2" s="2">
        <v>24.3</v>
      </c>
      <c r="H26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2" t="s">
        <v>324</v>
      </c>
      <c r="J262" t="s">
        <v>366</v>
      </c>
      <c r="K262">
        <v>11</v>
      </c>
      <c r="L262">
        <v>2</v>
      </c>
      <c r="M262">
        <v>0</v>
      </c>
      <c r="N262">
        <v>1</v>
      </c>
      <c r="O262">
        <f>players[[#This Row],[Goals]]+players[[#This Row],[Assists]]</f>
        <v>3</v>
      </c>
      <c r="P262" s="1">
        <f>IF(players[[#This Row],[Matches]]&gt;0,players[[#This Row],[Total Goal Involvement]]/players[[#This Row],[Matches]],0)</f>
        <v>0.27272727272727271</v>
      </c>
      <c r="Q262" s="3">
        <f>players[[#This Row],[Total Goal Involvement per match]]/players[[#This Row],[Markey Value In Millions(£)]]</f>
        <v>1.1223344556677889E-2</v>
      </c>
      <c r="R262">
        <v>4</v>
      </c>
      <c r="S262">
        <v>0</v>
      </c>
      <c r="T262">
        <v>0</v>
      </c>
      <c r="U262">
        <v>1</v>
      </c>
      <c r="V262">
        <v>0</v>
      </c>
    </row>
    <row r="263" spans="1:22" x14ac:dyDescent="0.25">
      <c r="A263">
        <v>261</v>
      </c>
      <c r="B263" t="s">
        <v>380</v>
      </c>
      <c r="C263" t="s">
        <v>43</v>
      </c>
      <c r="D263" t="str" cm="1">
        <f t="array" ref="D26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63">
        <v>24</v>
      </c>
      <c r="F26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3" s="2">
        <v>24.3</v>
      </c>
      <c r="H26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3" t="s">
        <v>151</v>
      </c>
      <c r="J263" t="s">
        <v>333</v>
      </c>
      <c r="K263">
        <v>4</v>
      </c>
      <c r="L263">
        <v>0</v>
      </c>
      <c r="M263">
        <v>0</v>
      </c>
      <c r="N263">
        <v>1</v>
      </c>
      <c r="O263">
        <f>players[[#This Row],[Goals]]+players[[#This Row],[Assists]]</f>
        <v>1</v>
      </c>
      <c r="P263" s="1">
        <f>IF(players[[#This Row],[Matches]]&gt;0,players[[#This Row],[Total Goal Involvement]]/players[[#This Row],[Matches]],0)</f>
        <v>0.25</v>
      </c>
      <c r="Q263" s="3">
        <f>players[[#This Row],[Total Goal Involvement per match]]/players[[#This Row],[Markey Value In Millions(£)]]</f>
        <v>1.0288065843621399E-2</v>
      </c>
      <c r="R263">
        <v>1</v>
      </c>
      <c r="S263">
        <v>0</v>
      </c>
      <c r="T263">
        <v>0</v>
      </c>
      <c r="U263">
        <v>0</v>
      </c>
      <c r="V263">
        <v>3</v>
      </c>
    </row>
    <row r="264" spans="1:22" x14ac:dyDescent="0.25">
      <c r="A264">
        <v>262</v>
      </c>
      <c r="B264" t="s">
        <v>381</v>
      </c>
      <c r="C264" t="s">
        <v>69</v>
      </c>
      <c r="D264" t="str" cm="1">
        <f t="array" ref="D26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64">
        <v>25</v>
      </c>
      <c r="F26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4" s="2">
        <v>24.3</v>
      </c>
      <c r="H26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4" t="s">
        <v>50</v>
      </c>
      <c r="J264" t="s">
        <v>165</v>
      </c>
      <c r="K264">
        <v>10</v>
      </c>
      <c r="L264">
        <v>0</v>
      </c>
      <c r="M264">
        <v>0</v>
      </c>
      <c r="N264">
        <v>1</v>
      </c>
      <c r="O264">
        <f>players[[#This Row],[Goals]]+players[[#This Row],[Assists]]</f>
        <v>1</v>
      </c>
      <c r="P264" s="1">
        <f>IF(players[[#This Row],[Matches]]&gt;0,players[[#This Row],[Total Goal Involvement]]/players[[#This Row],[Matches]],0)</f>
        <v>0.1</v>
      </c>
      <c r="Q264" s="3">
        <f>players[[#This Row],[Total Goal Involvement per match]]/players[[#This Row],[Markey Value In Millions(£)]]</f>
        <v>4.11522633744856E-3</v>
      </c>
      <c r="R264">
        <v>2</v>
      </c>
      <c r="S264">
        <v>0</v>
      </c>
      <c r="T264">
        <v>0</v>
      </c>
      <c r="U264">
        <v>1</v>
      </c>
      <c r="V264">
        <v>1</v>
      </c>
    </row>
    <row r="265" spans="1:22" x14ac:dyDescent="0.25">
      <c r="A265">
        <v>263</v>
      </c>
      <c r="B265" t="s">
        <v>382</v>
      </c>
      <c r="C265" t="s">
        <v>17</v>
      </c>
      <c r="D265" t="str" cm="1">
        <f t="array" ref="D26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65">
        <v>27</v>
      </c>
      <c r="F26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5" s="2">
        <v>24.3</v>
      </c>
      <c r="H26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5" t="s">
        <v>140</v>
      </c>
      <c r="J265" t="s">
        <v>293</v>
      </c>
      <c r="K265">
        <v>17</v>
      </c>
      <c r="L265">
        <v>14</v>
      </c>
      <c r="M265">
        <v>0</v>
      </c>
      <c r="N265">
        <v>5</v>
      </c>
      <c r="O265">
        <f>players[[#This Row],[Goals]]+players[[#This Row],[Assists]]</f>
        <v>19</v>
      </c>
      <c r="P265" s="1">
        <f>IF(players[[#This Row],[Matches]]&gt;0,players[[#This Row],[Total Goal Involvement]]/players[[#This Row],[Matches]],0)</f>
        <v>1.1176470588235294</v>
      </c>
      <c r="Q265" s="3">
        <f>players[[#This Row],[Total Goal Involvement per match]]/players[[#This Row],[Markey Value In Millions(£)]]</f>
        <v>4.5993706124425077E-2</v>
      </c>
      <c r="R265">
        <v>2</v>
      </c>
      <c r="S265">
        <v>0</v>
      </c>
      <c r="T265">
        <v>0</v>
      </c>
      <c r="U265">
        <v>0</v>
      </c>
      <c r="V265">
        <v>7</v>
      </c>
    </row>
    <row r="266" spans="1:22" x14ac:dyDescent="0.25">
      <c r="A266">
        <v>264</v>
      </c>
      <c r="B266" t="s">
        <v>383</v>
      </c>
      <c r="C266" t="s">
        <v>71</v>
      </c>
      <c r="D266" t="str" cm="1">
        <f t="array" ref="D26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66">
        <v>27</v>
      </c>
      <c r="F26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6" s="2">
        <v>24.3</v>
      </c>
      <c r="H26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6" t="s">
        <v>50</v>
      </c>
      <c r="J266" t="s">
        <v>366</v>
      </c>
      <c r="K266">
        <v>11</v>
      </c>
      <c r="L266">
        <v>0</v>
      </c>
      <c r="M266">
        <v>0</v>
      </c>
      <c r="N266">
        <v>0</v>
      </c>
      <c r="O266">
        <f>players[[#This Row],[Goals]]+players[[#This Row],[Assists]]</f>
        <v>0</v>
      </c>
      <c r="P266" s="1">
        <f>IF(players[[#This Row],[Matches]]&gt;0,players[[#This Row],[Total Goal Involvement]]/players[[#This Row],[Matches]],0)</f>
        <v>0</v>
      </c>
      <c r="Q266" s="3">
        <f>players[[#This Row],[Total Goal Involvement per match]]/players[[#This Row],[Markey Value In Millions(£)]]</f>
        <v>0</v>
      </c>
      <c r="R266">
        <v>0</v>
      </c>
      <c r="S266">
        <v>0</v>
      </c>
      <c r="T266">
        <v>0</v>
      </c>
      <c r="U266">
        <v>0</v>
      </c>
      <c r="V266">
        <v>1</v>
      </c>
    </row>
    <row r="267" spans="1:22" x14ac:dyDescent="0.25">
      <c r="A267">
        <v>265</v>
      </c>
      <c r="B267" t="s">
        <v>384</v>
      </c>
      <c r="C267" t="s">
        <v>27</v>
      </c>
      <c r="D267" t="str" cm="1">
        <f t="array" ref="D26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67">
        <v>28</v>
      </c>
      <c r="F26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7" s="2">
        <v>24.3</v>
      </c>
      <c r="H26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7" t="s">
        <v>34</v>
      </c>
      <c r="J267" t="s">
        <v>22</v>
      </c>
      <c r="K267">
        <v>13</v>
      </c>
      <c r="L267">
        <v>4</v>
      </c>
      <c r="M267">
        <v>0</v>
      </c>
      <c r="N267">
        <v>0</v>
      </c>
      <c r="O267">
        <f>players[[#This Row],[Goals]]+players[[#This Row],[Assists]]</f>
        <v>4</v>
      </c>
      <c r="P267" s="1">
        <f>IF(players[[#This Row],[Matches]]&gt;0,players[[#This Row],[Total Goal Involvement]]/players[[#This Row],[Matches]],0)</f>
        <v>0.30769230769230771</v>
      </c>
      <c r="Q267" s="3">
        <f>players[[#This Row],[Total Goal Involvement per match]]/players[[#This Row],[Markey Value In Millions(£)]]</f>
        <v>1.2662234884457106E-2</v>
      </c>
      <c r="R267">
        <v>0</v>
      </c>
      <c r="S267">
        <v>0</v>
      </c>
      <c r="T267">
        <v>0</v>
      </c>
      <c r="U267">
        <v>7</v>
      </c>
      <c r="V267">
        <v>4</v>
      </c>
    </row>
    <row r="268" spans="1:22" x14ac:dyDescent="0.25">
      <c r="A268">
        <v>266</v>
      </c>
      <c r="B268" t="s">
        <v>385</v>
      </c>
      <c r="C268" t="s">
        <v>30</v>
      </c>
      <c r="D268" t="str" cm="1">
        <f t="array" ref="D26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68">
        <v>19</v>
      </c>
      <c r="F268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268" s="2">
        <v>23.4</v>
      </c>
      <c r="H26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8" t="s">
        <v>34</v>
      </c>
      <c r="J268" t="s">
        <v>386</v>
      </c>
      <c r="K268">
        <v>4</v>
      </c>
      <c r="L268">
        <v>0</v>
      </c>
      <c r="M268">
        <v>0</v>
      </c>
      <c r="N268">
        <v>0</v>
      </c>
      <c r="O268">
        <f>players[[#This Row],[Goals]]+players[[#This Row],[Assists]]</f>
        <v>0</v>
      </c>
      <c r="P268" s="1">
        <f>IF(players[[#This Row],[Matches]]&gt;0,players[[#This Row],[Total Goal Involvement]]/players[[#This Row],[Matches]],0)</f>
        <v>0</v>
      </c>
      <c r="Q268" s="3">
        <f>players[[#This Row],[Total Goal Involvement per match]]/players[[#This Row],[Markey Value In Millions(£)]]</f>
        <v>0</v>
      </c>
      <c r="R268">
        <v>0</v>
      </c>
      <c r="S268">
        <v>0</v>
      </c>
      <c r="T268">
        <v>0</v>
      </c>
      <c r="U268">
        <v>1</v>
      </c>
      <c r="V268">
        <v>3</v>
      </c>
    </row>
    <row r="269" spans="1:22" x14ac:dyDescent="0.25">
      <c r="A269">
        <v>267</v>
      </c>
      <c r="B269" t="s">
        <v>387</v>
      </c>
      <c r="C269" t="s">
        <v>17</v>
      </c>
      <c r="D269" t="str" cm="1">
        <f t="array" ref="D26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69">
        <v>25</v>
      </c>
      <c r="F26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69" s="2">
        <v>23.4</v>
      </c>
      <c r="H26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69" t="s">
        <v>39</v>
      </c>
      <c r="J269" t="s">
        <v>388</v>
      </c>
      <c r="K269">
        <v>0</v>
      </c>
      <c r="L269">
        <v>0</v>
      </c>
      <c r="M269">
        <v>0</v>
      </c>
      <c r="N269">
        <v>0</v>
      </c>
      <c r="O269">
        <f>players[[#This Row],[Goals]]+players[[#This Row],[Assists]]</f>
        <v>0</v>
      </c>
      <c r="P269" s="1">
        <f>IF(players[[#This Row],[Matches]]&gt;0,players[[#This Row],[Total Goal Involvement]]/players[[#This Row],[Matches]],0)</f>
        <v>0</v>
      </c>
      <c r="Q269" s="3">
        <f>players[[#This Row],[Total Goal Involvement per match]]/players[[#This Row],[Markey Value In Millions(£)]]</f>
        <v>0</v>
      </c>
      <c r="R269">
        <v>0</v>
      </c>
      <c r="S269">
        <v>0</v>
      </c>
      <c r="T269">
        <v>0</v>
      </c>
      <c r="U269">
        <v>0</v>
      </c>
      <c r="V269">
        <v>0</v>
      </c>
    </row>
    <row r="270" spans="1:22" x14ac:dyDescent="0.25">
      <c r="A270">
        <v>268</v>
      </c>
      <c r="B270" t="s">
        <v>389</v>
      </c>
      <c r="C270" t="s">
        <v>43</v>
      </c>
      <c r="D270" t="str" cm="1">
        <f t="array" ref="D27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70">
        <v>24</v>
      </c>
      <c r="F27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70" s="2">
        <v>23.4</v>
      </c>
      <c r="H27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0" t="s">
        <v>151</v>
      </c>
      <c r="J270" t="s">
        <v>165</v>
      </c>
      <c r="K270">
        <v>13</v>
      </c>
      <c r="L270">
        <v>1</v>
      </c>
      <c r="M270">
        <v>0</v>
      </c>
      <c r="N270">
        <v>0</v>
      </c>
      <c r="O270">
        <f>players[[#This Row],[Goals]]+players[[#This Row],[Assists]]</f>
        <v>1</v>
      </c>
      <c r="P270" s="1">
        <f>IF(players[[#This Row],[Matches]]&gt;0,players[[#This Row],[Total Goal Involvement]]/players[[#This Row],[Matches]],0)</f>
        <v>7.6923076923076927E-2</v>
      </c>
      <c r="Q270" s="3">
        <f>players[[#This Row],[Total Goal Involvement per match]]/players[[#This Row],[Markey Value In Millions(£)]]</f>
        <v>3.2873109796186725E-3</v>
      </c>
      <c r="R270">
        <v>0</v>
      </c>
      <c r="S270">
        <v>0</v>
      </c>
      <c r="T270">
        <v>0</v>
      </c>
      <c r="U270">
        <v>8</v>
      </c>
      <c r="V270">
        <v>4</v>
      </c>
    </row>
    <row r="271" spans="1:22" x14ac:dyDescent="0.25">
      <c r="A271">
        <v>269</v>
      </c>
      <c r="B271" t="s">
        <v>390</v>
      </c>
      <c r="C271" t="s">
        <v>49</v>
      </c>
      <c r="D271" t="str" cm="1">
        <f t="array" ref="D27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71">
        <v>27</v>
      </c>
      <c r="F27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71" s="2">
        <v>23.4</v>
      </c>
      <c r="H27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1" t="s">
        <v>50</v>
      </c>
      <c r="J271" t="s">
        <v>22</v>
      </c>
      <c r="K271">
        <v>6</v>
      </c>
      <c r="L271">
        <v>1</v>
      </c>
      <c r="M271">
        <v>0</v>
      </c>
      <c r="N271">
        <v>0</v>
      </c>
      <c r="O271">
        <f>players[[#This Row],[Goals]]+players[[#This Row],[Assists]]</f>
        <v>1</v>
      </c>
      <c r="P271" s="1">
        <f>IF(players[[#This Row],[Matches]]&gt;0,players[[#This Row],[Total Goal Involvement]]/players[[#This Row],[Matches]],0)</f>
        <v>0.16666666666666666</v>
      </c>
      <c r="Q271" s="3">
        <f>players[[#This Row],[Total Goal Involvement per match]]/players[[#This Row],[Markey Value In Millions(£)]]</f>
        <v>7.1225071225071226E-3</v>
      </c>
      <c r="R271">
        <v>0</v>
      </c>
      <c r="S271">
        <v>0</v>
      </c>
      <c r="T271">
        <v>0</v>
      </c>
      <c r="U271">
        <v>3</v>
      </c>
      <c r="V271">
        <v>2</v>
      </c>
    </row>
    <row r="272" spans="1:22" x14ac:dyDescent="0.25">
      <c r="A272">
        <v>270</v>
      </c>
      <c r="B272" t="s">
        <v>391</v>
      </c>
      <c r="C272" t="s">
        <v>77</v>
      </c>
      <c r="D272" t="str" cm="1">
        <f t="array" ref="D27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72">
        <v>28</v>
      </c>
      <c r="F27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72" s="2">
        <v>23.4</v>
      </c>
      <c r="H27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2" t="s">
        <v>87</v>
      </c>
      <c r="J272" t="s">
        <v>188</v>
      </c>
      <c r="K272">
        <v>0</v>
      </c>
      <c r="L272">
        <v>0</v>
      </c>
      <c r="M272">
        <v>0</v>
      </c>
      <c r="N272">
        <v>0</v>
      </c>
      <c r="O272">
        <f>players[[#This Row],[Goals]]+players[[#This Row],[Assists]]</f>
        <v>0</v>
      </c>
      <c r="P272" s="1">
        <f>IF(players[[#This Row],[Matches]]&gt;0,players[[#This Row],[Total Goal Involvement]]/players[[#This Row],[Matches]],0)</f>
        <v>0</v>
      </c>
      <c r="Q272" s="3">
        <f>players[[#This Row],[Total Goal Involvement per match]]/players[[#This Row],[Markey Value In Millions(£)]]</f>
        <v>0</v>
      </c>
      <c r="R272">
        <v>0</v>
      </c>
      <c r="S272">
        <v>0</v>
      </c>
      <c r="T272">
        <v>0</v>
      </c>
      <c r="U272">
        <v>0</v>
      </c>
      <c r="V272">
        <v>0</v>
      </c>
    </row>
    <row r="273" spans="1:22" x14ac:dyDescent="0.25">
      <c r="A273">
        <v>271</v>
      </c>
      <c r="B273" t="s">
        <v>392</v>
      </c>
      <c r="C273" t="s">
        <v>43</v>
      </c>
      <c r="D273" t="str" cm="1">
        <f t="array" ref="D27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73">
        <v>17</v>
      </c>
      <c r="F273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273" s="2">
        <v>22.5</v>
      </c>
      <c r="H27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3" t="s">
        <v>59</v>
      </c>
      <c r="J273" t="s">
        <v>45</v>
      </c>
      <c r="K273">
        <v>18</v>
      </c>
      <c r="L273">
        <v>0</v>
      </c>
      <c r="M273">
        <v>0</v>
      </c>
      <c r="N273">
        <v>1</v>
      </c>
      <c r="O273">
        <f>players[[#This Row],[Goals]]+players[[#This Row],[Assists]]</f>
        <v>1</v>
      </c>
      <c r="P273" s="1">
        <f>IF(players[[#This Row],[Matches]]&gt;0,players[[#This Row],[Total Goal Involvement]]/players[[#This Row],[Matches]],0)</f>
        <v>5.5555555555555552E-2</v>
      </c>
      <c r="Q273" s="3">
        <f>players[[#This Row],[Total Goal Involvement per match]]/players[[#This Row],[Markey Value In Millions(£)]]</f>
        <v>2.4691358024691358E-3</v>
      </c>
      <c r="R273">
        <v>6</v>
      </c>
      <c r="S273">
        <v>0</v>
      </c>
      <c r="T273">
        <v>1</v>
      </c>
      <c r="U273">
        <v>6</v>
      </c>
      <c r="V273">
        <v>11</v>
      </c>
    </row>
    <row r="274" spans="1:22" x14ac:dyDescent="0.25">
      <c r="A274">
        <v>272</v>
      </c>
      <c r="B274" t="s">
        <v>393</v>
      </c>
      <c r="C274" t="s">
        <v>43</v>
      </c>
      <c r="D274" t="str" cm="1">
        <f t="array" ref="D27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74">
        <v>18</v>
      </c>
      <c r="F274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274" s="2">
        <v>22.5</v>
      </c>
      <c r="H27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4" t="s">
        <v>302</v>
      </c>
      <c r="J274" t="s">
        <v>165</v>
      </c>
      <c r="K274">
        <v>3</v>
      </c>
      <c r="L274">
        <v>0</v>
      </c>
      <c r="M274">
        <v>0</v>
      </c>
      <c r="N274">
        <v>0</v>
      </c>
      <c r="O274">
        <f>players[[#This Row],[Goals]]+players[[#This Row],[Assists]]</f>
        <v>0</v>
      </c>
      <c r="P274" s="1">
        <f>IF(players[[#This Row],[Matches]]&gt;0,players[[#This Row],[Total Goal Involvement]]/players[[#This Row],[Matches]],0)</f>
        <v>0</v>
      </c>
      <c r="Q274" s="3">
        <f>players[[#This Row],[Total Goal Involvement per match]]/players[[#This Row],[Markey Value In Millions(£)]]</f>
        <v>0</v>
      </c>
      <c r="R274">
        <v>0</v>
      </c>
      <c r="S274">
        <v>0</v>
      </c>
      <c r="T274">
        <v>0</v>
      </c>
      <c r="U274">
        <v>3</v>
      </c>
      <c r="V274">
        <v>0</v>
      </c>
    </row>
    <row r="275" spans="1:22" x14ac:dyDescent="0.25">
      <c r="A275">
        <v>273</v>
      </c>
      <c r="B275" t="s">
        <v>394</v>
      </c>
      <c r="C275" t="s">
        <v>348</v>
      </c>
      <c r="D275" t="str" cm="1">
        <f t="array" ref="D27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75">
        <v>23</v>
      </c>
      <c r="F275" t="str">
        <f>IF(players[[#This Row],[Age]]&gt;34,"Veterans",IF(players[[#This Row],[Age]]&gt;29,"Experienced",IF(players[[#This Row],[Age]]&gt;23,"Career peak",IF(players[[#This Row],[Age]]&gt;19,"Young","Teenagers"))))</f>
        <v>Young</v>
      </c>
      <c r="G275" s="2">
        <v>22.5</v>
      </c>
      <c r="H27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5" t="s">
        <v>395</v>
      </c>
      <c r="J275" t="s">
        <v>396</v>
      </c>
      <c r="K275">
        <v>0</v>
      </c>
      <c r="L275">
        <v>0</v>
      </c>
      <c r="M275">
        <v>0</v>
      </c>
      <c r="N275">
        <v>0</v>
      </c>
      <c r="O275">
        <f>players[[#This Row],[Goals]]+players[[#This Row],[Assists]]</f>
        <v>0</v>
      </c>
      <c r="P275" s="1">
        <f>IF(players[[#This Row],[Matches]]&gt;0,players[[#This Row],[Total Goal Involvement]]/players[[#This Row],[Matches]],0)</f>
        <v>0</v>
      </c>
      <c r="Q275" s="3">
        <f>players[[#This Row],[Total Goal Involvement per match]]/players[[#This Row],[Markey Value In Millions(£)]]</f>
        <v>0</v>
      </c>
      <c r="R275">
        <v>0</v>
      </c>
      <c r="S275">
        <v>0</v>
      </c>
      <c r="T275">
        <v>0</v>
      </c>
      <c r="U275">
        <v>0</v>
      </c>
      <c r="V275">
        <v>0</v>
      </c>
    </row>
    <row r="276" spans="1:22" x14ac:dyDescent="0.25">
      <c r="A276">
        <v>274</v>
      </c>
      <c r="B276" t="s">
        <v>397</v>
      </c>
      <c r="C276" t="s">
        <v>30</v>
      </c>
      <c r="D276" t="str" cm="1">
        <f t="array" ref="D27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76">
        <v>21</v>
      </c>
      <c r="F276" t="str">
        <f>IF(players[[#This Row],[Age]]&gt;34,"Veterans",IF(players[[#This Row],[Age]]&gt;29,"Experienced",IF(players[[#This Row],[Age]]&gt;23,"Career peak",IF(players[[#This Row],[Age]]&gt;19,"Young","Teenagers"))))</f>
        <v>Young</v>
      </c>
      <c r="G276" s="2">
        <v>22.5</v>
      </c>
      <c r="H27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6" t="s">
        <v>39</v>
      </c>
      <c r="J276" t="s">
        <v>293</v>
      </c>
      <c r="K276">
        <v>14</v>
      </c>
      <c r="L276">
        <v>4</v>
      </c>
      <c r="M276">
        <v>0</v>
      </c>
      <c r="N276">
        <v>6</v>
      </c>
      <c r="O276">
        <f>players[[#This Row],[Goals]]+players[[#This Row],[Assists]]</f>
        <v>10</v>
      </c>
      <c r="P276" s="1">
        <f>IF(players[[#This Row],[Matches]]&gt;0,players[[#This Row],[Total Goal Involvement]]/players[[#This Row],[Matches]],0)</f>
        <v>0.7142857142857143</v>
      </c>
      <c r="Q276" s="3">
        <f>players[[#This Row],[Total Goal Involvement per match]]/players[[#This Row],[Markey Value In Millions(£)]]</f>
        <v>3.1746031746031744E-2</v>
      </c>
      <c r="R276">
        <v>1</v>
      </c>
      <c r="S276">
        <v>0</v>
      </c>
      <c r="T276">
        <v>0</v>
      </c>
      <c r="U276">
        <v>2</v>
      </c>
      <c r="V276">
        <v>9</v>
      </c>
    </row>
    <row r="277" spans="1:22" x14ac:dyDescent="0.25">
      <c r="A277">
        <v>275</v>
      </c>
      <c r="B277" t="s">
        <v>398</v>
      </c>
      <c r="C277" t="s">
        <v>71</v>
      </c>
      <c r="D277" t="str" cm="1">
        <f t="array" ref="D27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77">
        <v>22</v>
      </c>
      <c r="F277" t="str">
        <f>IF(players[[#This Row],[Age]]&gt;34,"Veterans",IF(players[[#This Row],[Age]]&gt;29,"Experienced",IF(players[[#This Row],[Age]]&gt;23,"Career peak",IF(players[[#This Row],[Age]]&gt;19,"Young","Teenagers"))))</f>
        <v>Young</v>
      </c>
      <c r="G277" s="2">
        <v>22.5</v>
      </c>
      <c r="H27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7" t="s">
        <v>39</v>
      </c>
      <c r="J277" t="s">
        <v>188</v>
      </c>
      <c r="K277">
        <v>18</v>
      </c>
      <c r="L277">
        <v>3</v>
      </c>
      <c r="M277">
        <v>0</v>
      </c>
      <c r="N277">
        <v>0</v>
      </c>
      <c r="O277">
        <f>players[[#This Row],[Goals]]+players[[#This Row],[Assists]]</f>
        <v>3</v>
      </c>
      <c r="P277" s="1">
        <f>IF(players[[#This Row],[Matches]]&gt;0,players[[#This Row],[Total Goal Involvement]]/players[[#This Row],[Matches]],0)</f>
        <v>0.16666666666666666</v>
      </c>
      <c r="Q277" s="3">
        <f>players[[#This Row],[Total Goal Involvement per match]]/players[[#This Row],[Markey Value In Millions(£)]]</f>
        <v>7.4074074074074068E-3</v>
      </c>
      <c r="R277">
        <v>2</v>
      </c>
      <c r="S277">
        <v>0</v>
      </c>
      <c r="T277">
        <v>0</v>
      </c>
      <c r="U277">
        <v>2</v>
      </c>
      <c r="V277">
        <v>0</v>
      </c>
    </row>
    <row r="278" spans="1:22" x14ac:dyDescent="0.25">
      <c r="A278">
        <v>276</v>
      </c>
      <c r="B278" t="s">
        <v>399</v>
      </c>
      <c r="C278" t="s">
        <v>17</v>
      </c>
      <c r="D278" t="str" cm="1">
        <f t="array" ref="D27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78">
        <v>19</v>
      </c>
      <c r="F278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278" s="2">
        <v>22.5</v>
      </c>
      <c r="H27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8" t="s">
        <v>47</v>
      </c>
      <c r="J278" t="s">
        <v>204</v>
      </c>
      <c r="K278">
        <v>16</v>
      </c>
      <c r="L278">
        <v>3</v>
      </c>
      <c r="M278">
        <v>0</v>
      </c>
      <c r="N278">
        <v>5</v>
      </c>
      <c r="O278">
        <f>players[[#This Row],[Goals]]+players[[#This Row],[Assists]]</f>
        <v>8</v>
      </c>
      <c r="P278" s="1">
        <f>IF(players[[#This Row],[Matches]]&gt;0,players[[#This Row],[Total Goal Involvement]]/players[[#This Row],[Matches]],0)</f>
        <v>0.5</v>
      </c>
      <c r="Q278" s="3">
        <f>players[[#This Row],[Total Goal Involvement per match]]/players[[#This Row],[Markey Value In Millions(£)]]</f>
        <v>2.2222222222222223E-2</v>
      </c>
      <c r="R278">
        <v>3</v>
      </c>
      <c r="S278">
        <v>0</v>
      </c>
      <c r="T278">
        <v>0</v>
      </c>
      <c r="U278">
        <v>7</v>
      </c>
      <c r="V278">
        <v>8</v>
      </c>
    </row>
    <row r="279" spans="1:22" x14ac:dyDescent="0.25">
      <c r="A279">
        <v>277</v>
      </c>
      <c r="B279" t="s">
        <v>400</v>
      </c>
      <c r="C279" t="s">
        <v>71</v>
      </c>
      <c r="D279" t="str" cm="1">
        <f t="array" ref="D27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79">
        <v>23</v>
      </c>
      <c r="F279" t="str">
        <f>IF(players[[#This Row],[Age]]&gt;34,"Veterans",IF(players[[#This Row],[Age]]&gt;29,"Experienced",IF(players[[#This Row],[Age]]&gt;23,"Career peak",IF(players[[#This Row],[Age]]&gt;19,"Young","Teenagers"))))</f>
        <v>Young</v>
      </c>
      <c r="G279" s="2">
        <v>22.5</v>
      </c>
      <c r="H27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79" t="s">
        <v>62</v>
      </c>
      <c r="J279" t="s">
        <v>293</v>
      </c>
      <c r="K279">
        <v>16</v>
      </c>
      <c r="L279">
        <v>0</v>
      </c>
      <c r="M279">
        <v>0</v>
      </c>
      <c r="N279">
        <v>3</v>
      </c>
      <c r="O279">
        <f>players[[#This Row],[Goals]]+players[[#This Row],[Assists]]</f>
        <v>3</v>
      </c>
      <c r="P279" s="1">
        <f>IF(players[[#This Row],[Matches]]&gt;0,players[[#This Row],[Total Goal Involvement]]/players[[#This Row],[Matches]],0)</f>
        <v>0.1875</v>
      </c>
      <c r="Q279" s="3">
        <f>players[[#This Row],[Total Goal Involvement per match]]/players[[#This Row],[Markey Value In Millions(£)]]</f>
        <v>8.3333333333333332E-3</v>
      </c>
      <c r="R279">
        <v>3</v>
      </c>
      <c r="S279">
        <v>0</v>
      </c>
      <c r="T279">
        <v>0</v>
      </c>
      <c r="U279">
        <v>1</v>
      </c>
      <c r="V279">
        <v>4</v>
      </c>
    </row>
    <row r="280" spans="1:22" x14ac:dyDescent="0.25">
      <c r="A280">
        <v>278</v>
      </c>
      <c r="B280" t="s">
        <v>401</v>
      </c>
      <c r="C280" t="s">
        <v>106</v>
      </c>
      <c r="D280" t="str" cm="1">
        <f t="array" ref="D28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80">
        <v>24</v>
      </c>
      <c r="F28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80" s="2">
        <v>22.5</v>
      </c>
      <c r="H28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0" t="s">
        <v>296</v>
      </c>
      <c r="J280" t="s">
        <v>349</v>
      </c>
      <c r="K280">
        <v>16</v>
      </c>
      <c r="L280">
        <v>11</v>
      </c>
      <c r="M280">
        <v>0</v>
      </c>
      <c r="N280">
        <v>2</v>
      </c>
      <c r="O280">
        <f>players[[#This Row],[Goals]]+players[[#This Row],[Assists]]</f>
        <v>13</v>
      </c>
      <c r="P280" s="1">
        <f>IF(players[[#This Row],[Matches]]&gt;0,players[[#This Row],[Total Goal Involvement]]/players[[#This Row],[Matches]],0)</f>
        <v>0.8125</v>
      </c>
      <c r="Q280" s="3">
        <f>players[[#This Row],[Total Goal Involvement per match]]/players[[#This Row],[Markey Value In Millions(£)]]</f>
        <v>3.6111111111111108E-2</v>
      </c>
      <c r="R280">
        <v>3</v>
      </c>
      <c r="S280">
        <v>0</v>
      </c>
      <c r="T280">
        <v>0</v>
      </c>
      <c r="U280">
        <v>1</v>
      </c>
      <c r="V280">
        <v>11</v>
      </c>
    </row>
    <row r="281" spans="1:22" x14ac:dyDescent="0.25">
      <c r="A281">
        <v>279</v>
      </c>
      <c r="B281" t="s">
        <v>402</v>
      </c>
      <c r="C281" t="s">
        <v>71</v>
      </c>
      <c r="D281" t="str" cm="1">
        <f t="array" ref="D28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81">
        <v>22</v>
      </c>
      <c r="F281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1" s="2">
        <v>22.5</v>
      </c>
      <c r="H28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1" t="s">
        <v>109</v>
      </c>
      <c r="J281" t="s">
        <v>45</v>
      </c>
      <c r="K281">
        <v>11</v>
      </c>
      <c r="L281">
        <v>1</v>
      </c>
      <c r="M281">
        <v>0</v>
      </c>
      <c r="N281">
        <v>0</v>
      </c>
      <c r="O281">
        <f>players[[#This Row],[Goals]]+players[[#This Row],[Assists]]</f>
        <v>1</v>
      </c>
      <c r="P281" s="1">
        <f>IF(players[[#This Row],[Matches]]&gt;0,players[[#This Row],[Total Goal Involvement]]/players[[#This Row],[Matches]],0)</f>
        <v>9.0909090909090912E-2</v>
      </c>
      <c r="Q281" s="3">
        <f>players[[#This Row],[Total Goal Involvement per match]]/players[[#This Row],[Markey Value In Millions(£)]]</f>
        <v>4.0404040404040404E-3</v>
      </c>
      <c r="R281">
        <v>2</v>
      </c>
      <c r="S281">
        <v>0</v>
      </c>
      <c r="T281">
        <v>0</v>
      </c>
      <c r="U281">
        <v>5</v>
      </c>
      <c r="V281">
        <v>0</v>
      </c>
    </row>
    <row r="282" spans="1:22" x14ac:dyDescent="0.25">
      <c r="A282">
        <v>280</v>
      </c>
      <c r="B282" t="s">
        <v>403</v>
      </c>
      <c r="C282" t="s">
        <v>77</v>
      </c>
      <c r="D282" t="str" cm="1">
        <f t="array" ref="D28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82">
        <v>23</v>
      </c>
      <c r="F282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2" s="2">
        <v>22.5</v>
      </c>
      <c r="H28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2" t="s">
        <v>39</v>
      </c>
      <c r="J282" t="s">
        <v>65</v>
      </c>
      <c r="K282">
        <v>15</v>
      </c>
      <c r="L282">
        <v>0</v>
      </c>
      <c r="M282">
        <v>0</v>
      </c>
      <c r="N282">
        <v>1</v>
      </c>
      <c r="O282">
        <f>players[[#This Row],[Goals]]+players[[#This Row],[Assists]]</f>
        <v>1</v>
      </c>
      <c r="P282" s="1">
        <f>IF(players[[#This Row],[Matches]]&gt;0,players[[#This Row],[Total Goal Involvement]]/players[[#This Row],[Matches]],0)</f>
        <v>6.6666666666666666E-2</v>
      </c>
      <c r="Q282" s="3">
        <f>players[[#This Row],[Total Goal Involvement per match]]/players[[#This Row],[Markey Value In Millions(£)]]</f>
        <v>2.9629629629629628E-3</v>
      </c>
      <c r="R282">
        <v>0</v>
      </c>
      <c r="S282">
        <v>0</v>
      </c>
      <c r="T282">
        <v>0</v>
      </c>
      <c r="U282">
        <v>12</v>
      </c>
      <c r="V282">
        <v>3</v>
      </c>
    </row>
    <row r="283" spans="1:22" x14ac:dyDescent="0.25">
      <c r="A283">
        <v>281</v>
      </c>
      <c r="B283" t="s">
        <v>404</v>
      </c>
      <c r="C283" t="s">
        <v>69</v>
      </c>
      <c r="D283" t="str" cm="1">
        <f t="array" ref="D28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83">
        <v>22</v>
      </c>
      <c r="F283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3" s="2">
        <v>22.5</v>
      </c>
      <c r="H28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3" t="s">
        <v>39</v>
      </c>
      <c r="J283" t="s">
        <v>25</v>
      </c>
      <c r="K283">
        <v>15</v>
      </c>
      <c r="L283">
        <v>0</v>
      </c>
      <c r="M283">
        <v>0</v>
      </c>
      <c r="N283">
        <v>0</v>
      </c>
      <c r="O283">
        <f>players[[#This Row],[Goals]]+players[[#This Row],[Assists]]</f>
        <v>0</v>
      </c>
      <c r="P283" s="1">
        <f>IF(players[[#This Row],[Matches]]&gt;0,players[[#This Row],[Total Goal Involvement]]/players[[#This Row],[Matches]],0)</f>
        <v>0</v>
      </c>
      <c r="Q283" s="3">
        <f>players[[#This Row],[Total Goal Involvement per match]]/players[[#This Row],[Markey Value In Millions(£)]]</f>
        <v>0</v>
      </c>
      <c r="R283">
        <v>1</v>
      </c>
      <c r="S283">
        <v>0</v>
      </c>
      <c r="T283">
        <v>0</v>
      </c>
      <c r="U283">
        <v>5</v>
      </c>
      <c r="V283">
        <v>1</v>
      </c>
    </row>
    <row r="284" spans="1:22" x14ac:dyDescent="0.25">
      <c r="A284">
        <v>282</v>
      </c>
      <c r="B284" t="s">
        <v>405</v>
      </c>
      <c r="C284" t="s">
        <v>27</v>
      </c>
      <c r="D284" t="str" cm="1">
        <f t="array" ref="D28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84">
        <v>21</v>
      </c>
      <c r="F284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4" s="2">
        <v>22.5</v>
      </c>
      <c r="H28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4" t="s">
        <v>406</v>
      </c>
      <c r="J284" t="s">
        <v>165</v>
      </c>
      <c r="K284">
        <v>15</v>
      </c>
      <c r="L284">
        <v>6</v>
      </c>
      <c r="M284">
        <v>0</v>
      </c>
      <c r="N284">
        <v>3</v>
      </c>
      <c r="O284">
        <f>players[[#This Row],[Goals]]+players[[#This Row],[Assists]]</f>
        <v>9</v>
      </c>
      <c r="P284" s="1">
        <f>IF(players[[#This Row],[Matches]]&gt;0,players[[#This Row],[Total Goal Involvement]]/players[[#This Row],[Matches]],0)</f>
        <v>0.6</v>
      </c>
      <c r="Q284" s="3">
        <f>players[[#This Row],[Total Goal Involvement per match]]/players[[#This Row],[Markey Value In Millions(£)]]</f>
        <v>2.6666666666666665E-2</v>
      </c>
      <c r="R284">
        <v>1</v>
      </c>
      <c r="S284">
        <v>0</v>
      </c>
      <c r="T284">
        <v>0</v>
      </c>
      <c r="U284">
        <v>6</v>
      </c>
      <c r="V284">
        <v>7</v>
      </c>
    </row>
    <row r="285" spans="1:22" x14ac:dyDescent="0.25">
      <c r="A285">
        <v>283</v>
      </c>
      <c r="B285" t="s">
        <v>407</v>
      </c>
      <c r="C285" t="s">
        <v>17</v>
      </c>
      <c r="D285" t="str" cm="1">
        <f t="array" ref="D28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85">
        <v>20</v>
      </c>
      <c r="F285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5" s="2">
        <v>22.5</v>
      </c>
      <c r="H28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5" t="s">
        <v>34</v>
      </c>
      <c r="J285" t="s">
        <v>408</v>
      </c>
      <c r="K285">
        <v>21</v>
      </c>
      <c r="L285">
        <v>5</v>
      </c>
      <c r="M285">
        <v>0</v>
      </c>
      <c r="N285">
        <v>4</v>
      </c>
      <c r="O285">
        <f>players[[#This Row],[Goals]]+players[[#This Row],[Assists]]</f>
        <v>9</v>
      </c>
      <c r="P285" s="1">
        <f>IF(players[[#This Row],[Matches]]&gt;0,players[[#This Row],[Total Goal Involvement]]/players[[#This Row],[Matches]],0)</f>
        <v>0.42857142857142855</v>
      </c>
      <c r="Q285" s="3">
        <f>players[[#This Row],[Total Goal Involvement per match]]/players[[#This Row],[Markey Value In Millions(£)]]</f>
        <v>1.9047619047619046E-2</v>
      </c>
      <c r="R285">
        <v>4</v>
      </c>
      <c r="S285">
        <v>0</v>
      </c>
      <c r="T285">
        <v>0</v>
      </c>
      <c r="U285">
        <v>0</v>
      </c>
      <c r="V285">
        <v>8</v>
      </c>
    </row>
    <row r="286" spans="1:22" x14ac:dyDescent="0.25">
      <c r="A286">
        <v>284</v>
      </c>
      <c r="B286" t="s">
        <v>409</v>
      </c>
      <c r="C286" t="s">
        <v>71</v>
      </c>
      <c r="D286" t="str" cm="1">
        <f t="array" ref="D28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86">
        <v>23</v>
      </c>
      <c r="F286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6" s="2">
        <v>22.5</v>
      </c>
      <c r="H28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6" t="s">
        <v>39</v>
      </c>
      <c r="J286" t="s">
        <v>107</v>
      </c>
      <c r="K286">
        <v>9</v>
      </c>
      <c r="L286">
        <v>1</v>
      </c>
      <c r="M286">
        <v>0</v>
      </c>
      <c r="N286">
        <v>0</v>
      </c>
      <c r="O286">
        <f>players[[#This Row],[Goals]]+players[[#This Row],[Assists]]</f>
        <v>1</v>
      </c>
      <c r="P286" s="1">
        <f>IF(players[[#This Row],[Matches]]&gt;0,players[[#This Row],[Total Goal Involvement]]/players[[#This Row],[Matches]],0)</f>
        <v>0.1111111111111111</v>
      </c>
      <c r="Q286" s="3">
        <f>players[[#This Row],[Total Goal Involvement per match]]/players[[#This Row],[Markey Value In Millions(£)]]</f>
        <v>4.9382716049382715E-3</v>
      </c>
      <c r="R286">
        <v>1</v>
      </c>
      <c r="S286">
        <v>0</v>
      </c>
      <c r="T286">
        <v>0</v>
      </c>
      <c r="U286">
        <v>0</v>
      </c>
      <c r="V286">
        <v>1</v>
      </c>
    </row>
    <row r="287" spans="1:22" x14ac:dyDescent="0.25">
      <c r="A287">
        <v>285</v>
      </c>
      <c r="B287" t="s">
        <v>410</v>
      </c>
      <c r="C287" t="s">
        <v>30</v>
      </c>
      <c r="D287" t="str" cm="1">
        <f t="array" ref="D28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87">
        <v>23</v>
      </c>
      <c r="F287" t="str">
        <f>IF(players[[#This Row],[Age]]&gt;34,"Veterans",IF(players[[#This Row],[Age]]&gt;29,"Experienced",IF(players[[#This Row],[Age]]&gt;23,"Career peak",IF(players[[#This Row],[Age]]&gt;19,"Young","Teenagers"))))</f>
        <v>Young</v>
      </c>
      <c r="G287" s="2">
        <v>22.5</v>
      </c>
      <c r="H28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7" t="s">
        <v>47</v>
      </c>
      <c r="J287" t="s">
        <v>411</v>
      </c>
      <c r="K287">
        <v>13</v>
      </c>
      <c r="L287">
        <v>9</v>
      </c>
      <c r="M287">
        <v>0</v>
      </c>
      <c r="N287">
        <v>1</v>
      </c>
      <c r="O287">
        <f>players[[#This Row],[Goals]]+players[[#This Row],[Assists]]</f>
        <v>10</v>
      </c>
      <c r="P287" s="1">
        <f>IF(players[[#This Row],[Matches]]&gt;0,players[[#This Row],[Total Goal Involvement]]/players[[#This Row],[Matches]],0)</f>
        <v>0.76923076923076927</v>
      </c>
      <c r="Q287" s="3">
        <f>players[[#This Row],[Total Goal Involvement per match]]/players[[#This Row],[Markey Value In Millions(£)]]</f>
        <v>3.4188034188034191E-2</v>
      </c>
      <c r="R287">
        <v>2</v>
      </c>
      <c r="S287">
        <v>0</v>
      </c>
      <c r="T287">
        <v>0</v>
      </c>
      <c r="U287">
        <v>2</v>
      </c>
      <c r="V287">
        <v>9</v>
      </c>
    </row>
    <row r="288" spans="1:22" x14ac:dyDescent="0.25">
      <c r="A288">
        <v>286</v>
      </c>
      <c r="B288" t="s">
        <v>412</v>
      </c>
      <c r="C288" t="s">
        <v>71</v>
      </c>
      <c r="D288" t="str" cm="1">
        <f t="array" ref="D28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88">
        <v>24</v>
      </c>
      <c r="F28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88" s="2">
        <v>22.5</v>
      </c>
      <c r="H28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8" t="s">
        <v>92</v>
      </c>
      <c r="J288" t="s">
        <v>159</v>
      </c>
      <c r="K288">
        <v>13</v>
      </c>
      <c r="L288">
        <v>2</v>
      </c>
      <c r="M288">
        <v>0</v>
      </c>
      <c r="N288">
        <v>0</v>
      </c>
      <c r="O288">
        <f>players[[#This Row],[Goals]]+players[[#This Row],[Assists]]</f>
        <v>2</v>
      </c>
      <c r="P288" s="1">
        <f>IF(players[[#This Row],[Matches]]&gt;0,players[[#This Row],[Total Goal Involvement]]/players[[#This Row],[Matches]],0)</f>
        <v>0.15384615384615385</v>
      </c>
      <c r="Q288" s="3">
        <f>players[[#This Row],[Total Goal Involvement per match]]/players[[#This Row],[Markey Value In Millions(£)]]</f>
        <v>6.8376068376068376E-3</v>
      </c>
      <c r="R288">
        <v>2</v>
      </c>
      <c r="S288">
        <v>1</v>
      </c>
      <c r="T288">
        <v>0</v>
      </c>
      <c r="U288">
        <v>0</v>
      </c>
      <c r="V288">
        <v>0</v>
      </c>
    </row>
    <row r="289" spans="1:22" x14ac:dyDescent="0.25">
      <c r="A289">
        <v>287</v>
      </c>
      <c r="B289" t="s">
        <v>413</v>
      </c>
      <c r="C289" t="s">
        <v>71</v>
      </c>
      <c r="D289" t="str" cm="1">
        <f t="array" ref="D28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89">
        <v>24</v>
      </c>
      <c r="F28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89" s="2">
        <v>22.5</v>
      </c>
      <c r="H28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89" t="s">
        <v>24</v>
      </c>
      <c r="J289" t="s">
        <v>252</v>
      </c>
      <c r="K289">
        <v>11</v>
      </c>
      <c r="L289">
        <v>0</v>
      </c>
      <c r="M289">
        <v>0</v>
      </c>
      <c r="N289">
        <v>0</v>
      </c>
      <c r="O289">
        <f>players[[#This Row],[Goals]]+players[[#This Row],[Assists]]</f>
        <v>0</v>
      </c>
      <c r="P289" s="1">
        <f>IF(players[[#This Row],[Matches]]&gt;0,players[[#This Row],[Total Goal Involvement]]/players[[#This Row],[Matches]],0)</f>
        <v>0</v>
      </c>
      <c r="Q289" s="3">
        <f>players[[#This Row],[Total Goal Involvement per match]]/players[[#This Row],[Markey Value In Millions(£)]]</f>
        <v>0</v>
      </c>
      <c r="R289">
        <v>0</v>
      </c>
      <c r="S289">
        <v>0</v>
      </c>
      <c r="T289">
        <v>1</v>
      </c>
      <c r="U289">
        <v>1</v>
      </c>
      <c r="V289">
        <v>1</v>
      </c>
    </row>
    <row r="290" spans="1:22" x14ac:dyDescent="0.25">
      <c r="A290">
        <v>288</v>
      </c>
      <c r="B290" t="s">
        <v>414</v>
      </c>
      <c r="C290" t="s">
        <v>43</v>
      </c>
      <c r="D290" t="str" cm="1">
        <f t="array" ref="D29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90">
        <v>25</v>
      </c>
      <c r="F29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90" s="2">
        <v>22.5</v>
      </c>
      <c r="H29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0" t="s">
        <v>415</v>
      </c>
      <c r="J290" t="s">
        <v>416</v>
      </c>
      <c r="K290">
        <v>8</v>
      </c>
      <c r="L290">
        <v>0</v>
      </c>
      <c r="M290">
        <v>0</v>
      </c>
      <c r="N290">
        <v>1</v>
      </c>
      <c r="O290">
        <f>players[[#This Row],[Goals]]+players[[#This Row],[Assists]]</f>
        <v>1</v>
      </c>
      <c r="P290" s="1">
        <f>IF(players[[#This Row],[Matches]]&gt;0,players[[#This Row],[Total Goal Involvement]]/players[[#This Row],[Matches]],0)</f>
        <v>0.125</v>
      </c>
      <c r="Q290" s="3">
        <f>players[[#This Row],[Total Goal Involvement per match]]/players[[#This Row],[Markey Value In Millions(£)]]</f>
        <v>5.5555555555555558E-3</v>
      </c>
      <c r="R290">
        <v>2</v>
      </c>
      <c r="S290">
        <v>0</v>
      </c>
      <c r="T290">
        <v>0</v>
      </c>
      <c r="U290">
        <v>1</v>
      </c>
      <c r="V290">
        <v>2</v>
      </c>
    </row>
    <row r="291" spans="1:22" x14ac:dyDescent="0.25">
      <c r="A291">
        <v>289</v>
      </c>
      <c r="B291" t="s">
        <v>417</v>
      </c>
      <c r="C291" t="s">
        <v>17</v>
      </c>
      <c r="D291" t="str" cm="1">
        <f t="array" ref="D29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91">
        <v>25</v>
      </c>
      <c r="F29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91" s="2">
        <v>22.5</v>
      </c>
      <c r="H29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1" t="s">
        <v>109</v>
      </c>
      <c r="J291" t="s">
        <v>217</v>
      </c>
      <c r="K291">
        <v>9</v>
      </c>
      <c r="L291">
        <v>1</v>
      </c>
      <c r="M291">
        <v>0</v>
      </c>
      <c r="N291">
        <v>1</v>
      </c>
      <c r="O291">
        <f>players[[#This Row],[Goals]]+players[[#This Row],[Assists]]</f>
        <v>2</v>
      </c>
      <c r="P291" s="1">
        <f>IF(players[[#This Row],[Matches]]&gt;0,players[[#This Row],[Total Goal Involvement]]/players[[#This Row],[Matches]],0)</f>
        <v>0.22222222222222221</v>
      </c>
      <c r="Q291" s="3">
        <f>players[[#This Row],[Total Goal Involvement per match]]/players[[#This Row],[Markey Value In Millions(£)]]</f>
        <v>9.876543209876543E-3</v>
      </c>
      <c r="R291">
        <v>3</v>
      </c>
      <c r="S291">
        <v>1</v>
      </c>
      <c r="T291">
        <v>0</v>
      </c>
      <c r="U291">
        <v>0</v>
      </c>
      <c r="V291">
        <v>3</v>
      </c>
    </row>
    <row r="292" spans="1:22" x14ac:dyDescent="0.25">
      <c r="A292">
        <v>290</v>
      </c>
      <c r="B292" t="s">
        <v>418</v>
      </c>
      <c r="C292" t="s">
        <v>27</v>
      </c>
      <c r="D292" t="str" cm="1">
        <f t="array" ref="D29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92">
        <v>22</v>
      </c>
      <c r="F292" t="str">
        <f>IF(players[[#This Row],[Age]]&gt;34,"Veterans",IF(players[[#This Row],[Age]]&gt;29,"Experienced",IF(players[[#This Row],[Age]]&gt;23,"Career peak",IF(players[[#This Row],[Age]]&gt;19,"Young","Teenagers"))))</f>
        <v>Young</v>
      </c>
      <c r="G292" s="2">
        <v>22.5</v>
      </c>
      <c r="H29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2" t="s">
        <v>47</v>
      </c>
      <c r="J292" t="s">
        <v>141</v>
      </c>
      <c r="K292">
        <v>17</v>
      </c>
      <c r="L292">
        <v>5</v>
      </c>
      <c r="M292">
        <v>0</v>
      </c>
      <c r="N292">
        <v>3</v>
      </c>
      <c r="O292">
        <f>players[[#This Row],[Goals]]+players[[#This Row],[Assists]]</f>
        <v>8</v>
      </c>
      <c r="P292" s="1">
        <f>IF(players[[#This Row],[Matches]]&gt;0,players[[#This Row],[Total Goal Involvement]]/players[[#This Row],[Matches]],0)</f>
        <v>0.47058823529411764</v>
      </c>
      <c r="Q292" s="3">
        <f>players[[#This Row],[Total Goal Involvement per match]]/players[[#This Row],[Markey Value In Millions(£)]]</f>
        <v>2.0915032679738561E-2</v>
      </c>
      <c r="R292">
        <v>2</v>
      </c>
      <c r="S292">
        <v>0</v>
      </c>
      <c r="T292">
        <v>0</v>
      </c>
      <c r="U292">
        <v>3</v>
      </c>
      <c r="V292">
        <v>9</v>
      </c>
    </row>
    <row r="293" spans="1:22" x14ac:dyDescent="0.25">
      <c r="A293">
        <v>291</v>
      </c>
      <c r="B293" t="s">
        <v>419</v>
      </c>
      <c r="C293" t="s">
        <v>37</v>
      </c>
      <c r="D293" t="str" cm="1">
        <f t="array" ref="D29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93">
        <v>25</v>
      </c>
      <c r="F29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93" s="2">
        <v>22.5</v>
      </c>
      <c r="H29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3" t="s">
        <v>420</v>
      </c>
      <c r="J293" t="s">
        <v>361</v>
      </c>
      <c r="K293">
        <v>15</v>
      </c>
      <c r="L293">
        <v>2</v>
      </c>
      <c r="M293">
        <v>0</v>
      </c>
      <c r="N293">
        <v>1</v>
      </c>
      <c r="O293">
        <f>players[[#This Row],[Goals]]+players[[#This Row],[Assists]]</f>
        <v>3</v>
      </c>
      <c r="P293" s="1">
        <f>IF(players[[#This Row],[Matches]]&gt;0,players[[#This Row],[Total Goal Involvement]]/players[[#This Row],[Matches]],0)</f>
        <v>0.2</v>
      </c>
      <c r="Q293" s="3">
        <f>players[[#This Row],[Total Goal Involvement per match]]/players[[#This Row],[Markey Value In Millions(£)]]</f>
        <v>8.8888888888888889E-3</v>
      </c>
      <c r="R293">
        <v>0</v>
      </c>
      <c r="S293">
        <v>0</v>
      </c>
      <c r="T293">
        <v>0</v>
      </c>
      <c r="U293">
        <v>4</v>
      </c>
      <c r="V293">
        <v>4</v>
      </c>
    </row>
    <row r="294" spans="1:22" x14ac:dyDescent="0.25">
      <c r="A294">
        <v>292</v>
      </c>
      <c r="B294" t="s">
        <v>421</v>
      </c>
      <c r="C294" t="s">
        <v>27</v>
      </c>
      <c r="D294" t="str" cm="1">
        <f t="array" ref="D29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94">
        <v>24</v>
      </c>
      <c r="F29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94" s="2">
        <v>22.5</v>
      </c>
      <c r="H29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4" t="s">
        <v>44</v>
      </c>
      <c r="J294" t="s">
        <v>155</v>
      </c>
      <c r="K294">
        <v>15</v>
      </c>
      <c r="L294">
        <v>7</v>
      </c>
      <c r="M294">
        <v>0</v>
      </c>
      <c r="N294">
        <v>2</v>
      </c>
      <c r="O294">
        <f>players[[#This Row],[Goals]]+players[[#This Row],[Assists]]</f>
        <v>9</v>
      </c>
      <c r="P294" s="1">
        <f>IF(players[[#This Row],[Matches]]&gt;0,players[[#This Row],[Total Goal Involvement]]/players[[#This Row],[Matches]],0)</f>
        <v>0.6</v>
      </c>
      <c r="Q294" s="3">
        <f>players[[#This Row],[Total Goal Involvement per match]]/players[[#This Row],[Markey Value In Millions(£)]]</f>
        <v>2.6666666666666665E-2</v>
      </c>
      <c r="R294">
        <v>1</v>
      </c>
      <c r="S294">
        <v>0</v>
      </c>
      <c r="T294">
        <v>0</v>
      </c>
      <c r="U294">
        <v>3</v>
      </c>
      <c r="V294">
        <v>7</v>
      </c>
    </row>
    <row r="295" spans="1:22" x14ac:dyDescent="0.25">
      <c r="A295">
        <v>293</v>
      </c>
      <c r="B295" t="s">
        <v>422</v>
      </c>
      <c r="C295" t="s">
        <v>49</v>
      </c>
      <c r="D295" t="str" cm="1">
        <f t="array" ref="D29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295">
        <v>26</v>
      </c>
      <c r="F29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95" s="2">
        <v>22.5</v>
      </c>
      <c r="H29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5" t="s">
        <v>423</v>
      </c>
      <c r="J295" t="s">
        <v>119</v>
      </c>
      <c r="K295">
        <v>17</v>
      </c>
      <c r="L295">
        <v>0</v>
      </c>
      <c r="M295">
        <v>0</v>
      </c>
      <c r="N295">
        <v>0</v>
      </c>
      <c r="O295">
        <f>players[[#This Row],[Goals]]+players[[#This Row],[Assists]]</f>
        <v>0</v>
      </c>
      <c r="P295" s="1">
        <f>IF(players[[#This Row],[Matches]]&gt;0,players[[#This Row],[Total Goal Involvement]]/players[[#This Row],[Matches]],0)</f>
        <v>0</v>
      </c>
      <c r="Q295" s="3">
        <f>players[[#This Row],[Total Goal Involvement per match]]/players[[#This Row],[Markey Value In Millions(£)]]</f>
        <v>0</v>
      </c>
      <c r="R295">
        <v>4</v>
      </c>
      <c r="S295">
        <v>0</v>
      </c>
      <c r="T295">
        <v>0</v>
      </c>
      <c r="U295">
        <v>4</v>
      </c>
      <c r="V295">
        <v>4</v>
      </c>
    </row>
    <row r="296" spans="1:22" x14ac:dyDescent="0.25">
      <c r="A296">
        <v>294</v>
      </c>
      <c r="B296" t="s">
        <v>424</v>
      </c>
      <c r="C296" t="s">
        <v>71</v>
      </c>
      <c r="D296" t="str" cm="1">
        <f t="array" ref="D29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96">
        <v>25</v>
      </c>
      <c r="F29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96" s="2">
        <v>22.5</v>
      </c>
      <c r="H29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6" t="s">
        <v>18</v>
      </c>
      <c r="J296" t="s">
        <v>85</v>
      </c>
      <c r="K296">
        <v>16</v>
      </c>
      <c r="L296">
        <v>0</v>
      </c>
      <c r="M296">
        <v>0</v>
      </c>
      <c r="N296">
        <v>0</v>
      </c>
      <c r="O296">
        <f>players[[#This Row],[Goals]]+players[[#This Row],[Assists]]</f>
        <v>0</v>
      </c>
      <c r="P296" s="1">
        <f>IF(players[[#This Row],[Matches]]&gt;0,players[[#This Row],[Total Goal Involvement]]/players[[#This Row],[Matches]],0)</f>
        <v>0</v>
      </c>
      <c r="Q296" s="3">
        <f>players[[#This Row],[Total Goal Involvement per match]]/players[[#This Row],[Markey Value In Millions(£)]]</f>
        <v>0</v>
      </c>
      <c r="R296">
        <v>3</v>
      </c>
      <c r="S296">
        <v>0</v>
      </c>
      <c r="T296">
        <v>0</v>
      </c>
      <c r="U296">
        <v>0</v>
      </c>
      <c r="V296">
        <v>1</v>
      </c>
    </row>
    <row r="297" spans="1:22" x14ac:dyDescent="0.25">
      <c r="A297">
        <v>295</v>
      </c>
      <c r="B297" t="s">
        <v>425</v>
      </c>
      <c r="C297" t="s">
        <v>69</v>
      </c>
      <c r="D297" t="str" cm="1">
        <f t="array" ref="D29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97">
        <v>24</v>
      </c>
      <c r="F29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297" s="2">
        <v>22.5</v>
      </c>
      <c r="H29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7" t="s">
        <v>18</v>
      </c>
      <c r="J297" t="s">
        <v>165</v>
      </c>
      <c r="K297">
        <v>15</v>
      </c>
      <c r="L297">
        <v>2</v>
      </c>
      <c r="M297">
        <v>1</v>
      </c>
      <c r="N297">
        <v>1</v>
      </c>
      <c r="O297">
        <f>players[[#This Row],[Goals]]+players[[#This Row],[Assists]]</f>
        <v>3</v>
      </c>
      <c r="P297" s="1">
        <f>IF(players[[#This Row],[Matches]]&gt;0,players[[#This Row],[Total Goal Involvement]]/players[[#This Row],[Matches]],0)</f>
        <v>0.2</v>
      </c>
      <c r="Q297" s="3">
        <f>players[[#This Row],[Total Goal Involvement per match]]/players[[#This Row],[Markey Value In Millions(£)]]</f>
        <v>8.8888888888888889E-3</v>
      </c>
      <c r="R297">
        <v>2</v>
      </c>
      <c r="S297">
        <v>0</v>
      </c>
      <c r="T297">
        <v>0</v>
      </c>
      <c r="U297">
        <v>4</v>
      </c>
      <c r="V297">
        <v>2</v>
      </c>
    </row>
    <row r="298" spans="1:22" x14ac:dyDescent="0.25">
      <c r="A298">
        <v>296</v>
      </c>
      <c r="B298" t="s">
        <v>426</v>
      </c>
      <c r="C298" t="s">
        <v>71</v>
      </c>
      <c r="D298" t="str" cm="1">
        <f t="array" ref="D29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298">
        <v>23</v>
      </c>
      <c r="F298" t="str">
        <f>IF(players[[#This Row],[Age]]&gt;34,"Veterans",IF(players[[#This Row],[Age]]&gt;29,"Experienced",IF(players[[#This Row],[Age]]&gt;23,"Career peak",IF(players[[#This Row],[Age]]&gt;19,"Young","Teenagers"))))</f>
        <v>Young</v>
      </c>
      <c r="G298" s="2">
        <v>22.5</v>
      </c>
      <c r="H29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8" t="s">
        <v>24</v>
      </c>
      <c r="J298" t="s">
        <v>138</v>
      </c>
      <c r="K298">
        <v>9</v>
      </c>
      <c r="L298">
        <v>0</v>
      </c>
      <c r="M298">
        <v>0</v>
      </c>
      <c r="N298">
        <v>0</v>
      </c>
      <c r="O298">
        <f>players[[#This Row],[Goals]]+players[[#This Row],[Assists]]</f>
        <v>0</v>
      </c>
      <c r="P298" s="1">
        <f>IF(players[[#This Row],[Matches]]&gt;0,players[[#This Row],[Total Goal Involvement]]/players[[#This Row],[Matches]],0)</f>
        <v>0</v>
      </c>
      <c r="Q298" s="3">
        <f>players[[#This Row],[Total Goal Involvement per match]]/players[[#This Row],[Markey Value In Millions(£)]]</f>
        <v>0</v>
      </c>
      <c r="R298">
        <v>1</v>
      </c>
      <c r="S298">
        <v>0</v>
      </c>
      <c r="T298">
        <v>0</v>
      </c>
      <c r="U298">
        <v>0</v>
      </c>
      <c r="V298">
        <v>2</v>
      </c>
    </row>
    <row r="299" spans="1:22" x14ac:dyDescent="0.25">
      <c r="A299">
        <v>297</v>
      </c>
      <c r="B299" t="s">
        <v>427</v>
      </c>
      <c r="C299" t="s">
        <v>27</v>
      </c>
      <c r="D299" t="str" cm="1">
        <f t="array" ref="D29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299">
        <v>22</v>
      </c>
      <c r="F299" t="str">
        <f>IF(players[[#This Row],[Age]]&gt;34,"Veterans",IF(players[[#This Row],[Age]]&gt;29,"Experienced",IF(players[[#This Row],[Age]]&gt;23,"Career peak",IF(players[[#This Row],[Age]]&gt;19,"Young","Teenagers"))))</f>
        <v>Young</v>
      </c>
      <c r="G299" s="2">
        <v>22.5</v>
      </c>
      <c r="H29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299" t="s">
        <v>44</v>
      </c>
      <c r="J299" t="s">
        <v>408</v>
      </c>
      <c r="K299">
        <v>19</v>
      </c>
      <c r="L299">
        <v>4</v>
      </c>
      <c r="M299">
        <v>0</v>
      </c>
      <c r="N299">
        <v>6</v>
      </c>
      <c r="O299">
        <f>players[[#This Row],[Goals]]+players[[#This Row],[Assists]]</f>
        <v>10</v>
      </c>
      <c r="P299" s="1">
        <f>IF(players[[#This Row],[Matches]]&gt;0,players[[#This Row],[Total Goal Involvement]]/players[[#This Row],[Matches]],0)</f>
        <v>0.52631578947368418</v>
      </c>
      <c r="Q299" s="3">
        <f>players[[#This Row],[Total Goal Involvement per match]]/players[[#This Row],[Markey Value In Millions(£)]]</f>
        <v>2.3391812865497075E-2</v>
      </c>
      <c r="R299">
        <v>7</v>
      </c>
      <c r="S299">
        <v>0</v>
      </c>
      <c r="T299">
        <v>0</v>
      </c>
      <c r="U299">
        <v>2</v>
      </c>
      <c r="V299">
        <v>7</v>
      </c>
    </row>
    <row r="300" spans="1:22" x14ac:dyDescent="0.25">
      <c r="A300">
        <v>298</v>
      </c>
      <c r="B300" t="s">
        <v>428</v>
      </c>
      <c r="C300" t="s">
        <v>43</v>
      </c>
      <c r="D300" t="str" cm="1">
        <f t="array" ref="D30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00">
        <v>23</v>
      </c>
      <c r="F300" t="str">
        <f>IF(players[[#This Row],[Age]]&gt;34,"Veterans",IF(players[[#This Row],[Age]]&gt;29,"Experienced",IF(players[[#This Row],[Age]]&gt;23,"Career peak",IF(players[[#This Row],[Age]]&gt;19,"Young","Teenagers"))))</f>
        <v>Young</v>
      </c>
      <c r="G300" s="2">
        <v>22.5</v>
      </c>
      <c r="H30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0" t="s">
        <v>162</v>
      </c>
      <c r="J300" t="s">
        <v>88</v>
      </c>
      <c r="K300">
        <v>13</v>
      </c>
      <c r="L300">
        <v>2</v>
      </c>
      <c r="M300">
        <v>0</v>
      </c>
      <c r="N300">
        <v>0</v>
      </c>
      <c r="O300">
        <f>players[[#This Row],[Goals]]+players[[#This Row],[Assists]]</f>
        <v>2</v>
      </c>
      <c r="P300" s="1">
        <f>IF(players[[#This Row],[Matches]]&gt;0,players[[#This Row],[Total Goal Involvement]]/players[[#This Row],[Matches]],0)</f>
        <v>0.15384615384615385</v>
      </c>
      <c r="Q300" s="3">
        <f>players[[#This Row],[Total Goal Involvement per match]]/players[[#This Row],[Markey Value In Millions(£)]]</f>
        <v>6.8376068376068376E-3</v>
      </c>
      <c r="R300">
        <v>0</v>
      </c>
      <c r="S300">
        <v>0</v>
      </c>
      <c r="T300">
        <v>0</v>
      </c>
      <c r="U300">
        <v>4</v>
      </c>
      <c r="V300">
        <v>3</v>
      </c>
    </row>
    <row r="301" spans="1:22" x14ac:dyDescent="0.25">
      <c r="A301">
        <v>299</v>
      </c>
      <c r="B301" t="s">
        <v>429</v>
      </c>
      <c r="C301" t="s">
        <v>348</v>
      </c>
      <c r="D301" t="str" cm="1">
        <f t="array" ref="D30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01">
        <v>23</v>
      </c>
      <c r="F301" t="str">
        <f>IF(players[[#This Row],[Age]]&gt;34,"Veterans",IF(players[[#This Row],[Age]]&gt;29,"Experienced",IF(players[[#This Row],[Age]]&gt;23,"Career peak",IF(players[[#This Row],[Age]]&gt;19,"Young","Teenagers"))))</f>
        <v>Young</v>
      </c>
      <c r="G301" s="2">
        <v>22.5</v>
      </c>
      <c r="H30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1" t="s">
        <v>50</v>
      </c>
      <c r="J301" t="s">
        <v>333</v>
      </c>
      <c r="K301">
        <v>16</v>
      </c>
      <c r="L301">
        <v>4</v>
      </c>
      <c r="M301">
        <v>0</v>
      </c>
      <c r="N301">
        <v>0</v>
      </c>
      <c r="O301">
        <f>players[[#This Row],[Goals]]+players[[#This Row],[Assists]]</f>
        <v>4</v>
      </c>
      <c r="P301" s="1">
        <f>IF(players[[#This Row],[Matches]]&gt;0,players[[#This Row],[Total Goal Involvement]]/players[[#This Row],[Matches]],0)</f>
        <v>0.25</v>
      </c>
      <c r="Q301" s="3">
        <f>players[[#This Row],[Total Goal Involvement per match]]/players[[#This Row],[Markey Value In Millions(£)]]</f>
        <v>1.1111111111111112E-2</v>
      </c>
      <c r="R301">
        <v>3</v>
      </c>
      <c r="S301">
        <v>0</v>
      </c>
      <c r="T301">
        <v>0</v>
      </c>
      <c r="U301">
        <v>2</v>
      </c>
      <c r="V301">
        <v>7</v>
      </c>
    </row>
    <row r="302" spans="1:22" x14ac:dyDescent="0.25">
      <c r="A302">
        <v>300</v>
      </c>
      <c r="B302" t="s">
        <v>430</v>
      </c>
      <c r="C302" t="s">
        <v>30</v>
      </c>
      <c r="D302" t="str" cm="1">
        <f t="array" ref="D30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02">
        <v>23</v>
      </c>
      <c r="F302" t="str">
        <f>IF(players[[#This Row],[Age]]&gt;34,"Veterans",IF(players[[#This Row],[Age]]&gt;29,"Experienced",IF(players[[#This Row],[Age]]&gt;23,"Career peak",IF(players[[#This Row],[Age]]&gt;19,"Young","Teenagers"))))</f>
        <v>Young</v>
      </c>
      <c r="G302" s="2">
        <v>22.5</v>
      </c>
      <c r="H30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2" t="s">
        <v>18</v>
      </c>
      <c r="J302" t="s">
        <v>249</v>
      </c>
      <c r="K302">
        <v>18</v>
      </c>
      <c r="L302">
        <v>2</v>
      </c>
      <c r="M302">
        <v>0</v>
      </c>
      <c r="N302">
        <v>0</v>
      </c>
      <c r="O302">
        <f>players[[#This Row],[Goals]]+players[[#This Row],[Assists]]</f>
        <v>2</v>
      </c>
      <c r="P302" s="1">
        <f>IF(players[[#This Row],[Matches]]&gt;0,players[[#This Row],[Total Goal Involvement]]/players[[#This Row],[Matches]],0)</f>
        <v>0.1111111111111111</v>
      </c>
      <c r="Q302" s="3">
        <f>players[[#This Row],[Total Goal Involvement per match]]/players[[#This Row],[Markey Value In Millions(£)]]</f>
        <v>4.9382716049382715E-3</v>
      </c>
      <c r="R302">
        <v>4</v>
      </c>
      <c r="S302">
        <v>0</v>
      </c>
      <c r="T302">
        <v>0</v>
      </c>
      <c r="U302">
        <v>7</v>
      </c>
      <c r="V302">
        <v>10</v>
      </c>
    </row>
    <row r="303" spans="1:22" x14ac:dyDescent="0.25">
      <c r="A303">
        <v>301</v>
      </c>
      <c r="B303" t="s">
        <v>431</v>
      </c>
      <c r="C303" t="s">
        <v>27</v>
      </c>
      <c r="D303" t="str" cm="1">
        <f t="array" ref="D30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03">
        <v>25</v>
      </c>
      <c r="F30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03" s="2">
        <v>22.5</v>
      </c>
      <c r="H30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3" t="s">
        <v>18</v>
      </c>
      <c r="J303" t="s">
        <v>249</v>
      </c>
      <c r="K303">
        <v>12</v>
      </c>
      <c r="L303">
        <v>0</v>
      </c>
      <c r="M303">
        <v>0</v>
      </c>
      <c r="N303">
        <v>0</v>
      </c>
      <c r="O303">
        <f>players[[#This Row],[Goals]]+players[[#This Row],[Assists]]</f>
        <v>0</v>
      </c>
      <c r="P303" s="1">
        <f>IF(players[[#This Row],[Matches]]&gt;0,players[[#This Row],[Total Goal Involvement]]/players[[#This Row],[Matches]],0)</f>
        <v>0</v>
      </c>
      <c r="Q303" s="3">
        <f>players[[#This Row],[Total Goal Involvement per match]]/players[[#This Row],[Markey Value In Millions(£)]]</f>
        <v>0</v>
      </c>
      <c r="R303">
        <v>3</v>
      </c>
      <c r="S303">
        <v>0</v>
      </c>
      <c r="T303">
        <v>0</v>
      </c>
      <c r="U303">
        <v>2</v>
      </c>
      <c r="V303">
        <v>5</v>
      </c>
    </row>
    <row r="304" spans="1:22" x14ac:dyDescent="0.25">
      <c r="A304">
        <v>302</v>
      </c>
      <c r="B304" t="s">
        <v>432</v>
      </c>
      <c r="C304" t="s">
        <v>27</v>
      </c>
      <c r="D304" t="str" cm="1">
        <f t="array" ref="D30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04">
        <v>26</v>
      </c>
      <c r="F30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04" s="2">
        <v>22.5</v>
      </c>
      <c r="H30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4" t="s">
        <v>207</v>
      </c>
      <c r="J304" t="s">
        <v>82</v>
      </c>
      <c r="K304">
        <v>16</v>
      </c>
      <c r="L304">
        <v>6</v>
      </c>
      <c r="M304">
        <v>0</v>
      </c>
      <c r="N304">
        <v>3</v>
      </c>
      <c r="O304">
        <f>players[[#This Row],[Goals]]+players[[#This Row],[Assists]]</f>
        <v>9</v>
      </c>
      <c r="P304" s="1">
        <f>IF(players[[#This Row],[Matches]]&gt;0,players[[#This Row],[Total Goal Involvement]]/players[[#This Row],[Matches]],0)</f>
        <v>0.5625</v>
      </c>
      <c r="Q304" s="3">
        <f>players[[#This Row],[Total Goal Involvement per match]]/players[[#This Row],[Markey Value In Millions(£)]]</f>
        <v>2.5000000000000001E-2</v>
      </c>
      <c r="R304">
        <v>0</v>
      </c>
      <c r="S304">
        <v>0</v>
      </c>
      <c r="T304">
        <v>0</v>
      </c>
      <c r="U304">
        <v>3</v>
      </c>
      <c r="V304">
        <v>8</v>
      </c>
    </row>
    <row r="305" spans="1:22" x14ac:dyDescent="0.25">
      <c r="A305">
        <v>303</v>
      </c>
      <c r="B305" t="s">
        <v>433</v>
      </c>
      <c r="C305" t="s">
        <v>43</v>
      </c>
      <c r="D305" t="str" cm="1">
        <f t="array" ref="D30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05">
        <v>24</v>
      </c>
      <c r="F30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05" s="2">
        <v>22.5</v>
      </c>
      <c r="H30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5" t="s">
        <v>44</v>
      </c>
      <c r="J305" t="s">
        <v>41</v>
      </c>
      <c r="K305">
        <v>5</v>
      </c>
      <c r="L305">
        <v>0</v>
      </c>
      <c r="M305">
        <v>0</v>
      </c>
      <c r="N305">
        <v>0</v>
      </c>
      <c r="O305">
        <f>players[[#This Row],[Goals]]+players[[#This Row],[Assists]]</f>
        <v>0</v>
      </c>
      <c r="P305" s="1">
        <f>IF(players[[#This Row],[Matches]]&gt;0,players[[#This Row],[Total Goal Involvement]]/players[[#This Row],[Matches]],0)</f>
        <v>0</v>
      </c>
      <c r="Q305" s="3">
        <f>players[[#This Row],[Total Goal Involvement per match]]/players[[#This Row],[Markey Value In Millions(£)]]</f>
        <v>0</v>
      </c>
      <c r="R305">
        <v>0</v>
      </c>
      <c r="S305">
        <v>0</v>
      </c>
      <c r="T305">
        <v>0</v>
      </c>
      <c r="U305">
        <v>3</v>
      </c>
      <c r="V305">
        <v>1</v>
      </c>
    </row>
    <row r="306" spans="1:22" x14ac:dyDescent="0.25">
      <c r="A306">
        <v>304</v>
      </c>
      <c r="B306" t="s">
        <v>434</v>
      </c>
      <c r="C306" t="s">
        <v>77</v>
      </c>
      <c r="D306" t="str" cm="1">
        <f t="array" ref="D30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06">
        <v>24</v>
      </c>
      <c r="F30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06" s="2">
        <v>22.5</v>
      </c>
      <c r="H30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6" t="s">
        <v>59</v>
      </c>
      <c r="J306" t="s">
        <v>25</v>
      </c>
      <c r="K306">
        <v>13</v>
      </c>
      <c r="L306">
        <v>0</v>
      </c>
      <c r="M306">
        <v>0</v>
      </c>
      <c r="N306">
        <v>2</v>
      </c>
      <c r="O306">
        <f>players[[#This Row],[Goals]]+players[[#This Row],[Assists]]</f>
        <v>2</v>
      </c>
      <c r="P306" s="1">
        <f>IF(players[[#This Row],[Matches]]&gt;0,players[[#This Row],[Total Goal Involvement]]/players[[#This Row],[Matches]],0)</f>
        <v>0.15384615384615385</v>
      </c>
      <c r="Q306" s="3">
        <f>players[[#This Row],[Total Goal Involvement per match]]/players[[#This Row],[Markey Value In Millions(£)]]</f>
        <v>6.8376068376068376E-3</v>
      </c>
      <c r="R306">
        <v>1</v>
      </c>
      <c r="S306">
        <v>0</v>
      </c>
      <c r="T306">
        <v>0</v>
      </c>
      <c r="U306">
        <v>1</v>
      </c>
      <c r="V306">
        <v>3</v>
      </c>
    </row>
    <row r="307" spans="1:22" x14ac:dyDescent="0.25">
      <c r="A307">
        <v>305</v>
      </c>
      <c r="B307" t="s">
        <v>435</v>
      </c>
      <c r="C307" t="s">
        <v>71</v>
      </c>
      <c r="D307" t="str" cm="1">
        <f t="array" ref="D30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07">
        <v>26</v>
      </c>
      <c r="F30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07" s="2">
        <v>22.5</v>
      </c>
      <c r="H30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7" t="s">
        <v>34</v>
      </c>
      <c r="J307" t="s">
        <v>254</v>
      </c>
      <c r="K307">
        <v>14</v>
      </c>
      <c r="L307">
        <v>2</v>
      </c>
      <c r="M307">
        <v>0</v>
      </c>
      <c r="N307">
        <v>0</v>
      </c>
      <c r="O307">
        <f>players[[#This Row],[Goals]]+players[[#This Row],[Assists]]</f>
        <v>2</v>
      </c>
      <c r="P307" s="1">
        <f>IF(players[[#This Row],[Matches]]&gt;0,players[[#This Row],[Total Goal Involvement]]/players[[#This Row],[Matches]],0)</f>
        <v>0.14285714285714285</v>
      </c>
      <c r="Q307" s="3">
        <f>players[[#This Row],[Total Goal Involvement per match]]/players[[#This Row],[Markey Value In Millions(£)]]</f>
        <v>6.3492063492063492E-3</v>
      </c>
      <c r="R307">
        <v>1</v>
      </c>
      <c r="S307">
        <v>0</v>
      </c>
      <c r="T307">
        <v>0</v>
      </c>
      <c r="U307">
        <v>3</v>
      </c>
      <c r="V307">
        <v>1</v>
      </c>
    </row>
    <row r="308" spans="1:22" x14ac:dyDescent="0.25">
      <c r="A308">
        <v>306</v>
      </c>
      <c r="B308" t="s">
        <v>436</v>
      </c>
      <c r="C308" t="s">
        <v>30</v>
      </c>
      <c r="D308" t="str" cm="1">
        <f t="array" ref="D30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08">
        <v>24</v>
      </c>
      <c r="F30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08" s="2">
        <v>22.5</v>
      </c>
      <c r="H30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8" t="s">
        <v>338</v>
      </c>
      <c r="J308" t="s">
        <v>437</v>
      </c>
      <c r="K308">
        <v>20</v>
      </c>
      <c r="L308">
        <v>9</v>
      </c>
      <c r="M308">
        <v>0</v>
      </c>
      <c r="N308">
        <v>2</v>
      </c>
      <c r="O308">
        <f>players[[#This Row],[Goals]]+players[[#This Row],[Assists]]</f>
        <v>11</v>
      </c>
      <c r="P308" s="1">
        <f>IF(players[[#This Row],[Matches]]&gt;0,players[[#This Row],[Total Goal Involvement]]/players[[#This Row],[Matches]],0)</f>
        <v>0.55000000000000004</v>
      </c>
      <c r="Q308" s="3">
        <f>players[[#This Row],[Total Goal Involvement per match]]/players[[#This Row],[Markey Value In Millions(£)]]</f>
        <v>2.4444444444444446E-2</v>
      </c>
      <c r="R308">
        <v>1</v>
      </c>
      <c r="S308">
        <v>0</v>
      </c>
      <c r="T308">
        <v>0</v>
      </c>
      <c r="U308">
        <v>2</v>
      </c>
      <c r="V308">
        <v>8</v>
      </c>
    </row>
    <row r="309" spans="1:22" x14ac:dyDescent="0.25">
      <c r="A309">
        <v>307</v>
      </c>
      <c r="B309" t="s">
        <v>438</v>
      </c>
      <c r="C309" t="s">
        <v>69</v>
      </c>
      <c r="D309" t="str" cm="1">
        <f t="array" ref="D30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09">
        <v>24</v>
      </c>
      <c r="F30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09" s="2">
        <v>22.5</v>
      </c>
      <c r="H30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09" t="s">
        <v>87</v>
      </c>
      <c r="J309" t="s">
        <v>141</v>
      </c>
      <c r="K309">
        <v>14</v>
      </c>
      <c r="L309">
        <v>2</v>
      </c>
      <c r="M309">
        <v>0</v>
      </c>
      <c r="N309">
        <v>1</v>
      </c>
      <c r="O309">
        <f>players[[#This Row],[Goals]]+players[[#This Row],[Assists]]</f>
        <v>3</v>
      </c>
      <c r="P309" s="1">
        <f>IF(players[[#This Row],[Matches]]&gt;0,players[[#This Row],[Total Goal Involvement]]/players[[#This Row],[Matches]],0)</f>
        <v>0.21428571428571427</v>
      </c>
      <c r="Q309" s="3">
        <f>players[[#This Row],[Total Goal Involvement per match]]/players[[#This Row],[Markey Value In Millions(£)]]</f>
        <v>9.5238095238095229E-3</v>
      </c>
      <c r="R309">
        <v>2</v>
      </c>
      <c r="S309">
        <v>0</v>
      </c>
      <c r="T309">
        <v>0</v>
      </c>
      <c r="U309">
        <v>1</v>
      </c>
      <c r="V309">
        <v>2</v>
      </c>
    </row>
    <row r="310" spans="1:22" x14ac:dyDescent="0.25">
      <c r="A310">
        <v>308</v>
      </c>
      <c r="B310" t="s">
        <v>439</v>
      </c>
      <c r="C310" t="s">
        <v>30</v>
      </c>
      <c r="D310" t="str" cm="1">
        <f t="array" ref="D31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10">
        <v>26</v>
      </c>
      <c r="F31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0" s="2">
        <v>22.5</v>
      </c>
      <c r="H31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0" t="s">
        <v>47</v>
      </c>
      <c r="J310" t="s">
        <v>204</v>
      </c>
      <c r="K310">
        <v>10</v>
      </c>
      <c r="L310">
        <v>2</v>
      </c>
      <c r="M310">
        <v>0</v>
      </c>
      <c r="N310">
        <v>1</v>
      </c>
      <c r="O310">
        <f>players[[#This Row],[Goals]]+players[[#This Row],[Assists]]</f>
        <v>3</v>
      </c>
      <c r="P310" s="1">
        <f>IF(players[[#This Row],[Matches]]&gt;0,players[[#This Row],[Total Goal Involvement]]/players[[#This Row],[Matches]],0)</f>
        <v>0.3</v>
      </c>
      <c r="Q310" s="3">
        <f>players[[#This Row],[Total Goal Involvement per match]]/players[[#This Row],[Markey Value In Millions(£)]]</f>
        <v>1.3333333333333332E-2</v>
      </c>
      <c r="R310">
        <v>0</v>
      </c>
      <c r="S310">
        <v>0</v>
      </c>
      <c r="T310">
        <v>0</v>
      </c>
      <c r="U310">
        <v>7</v>
      </c>
      <c r="V310">
        <v>3</v>
      </c>
    </row>
    <row r="311" spans="1:22" x14ac:dyDescent="0.25">
      <c r="A311">
        <v>309</v>
      </c>
      <c r="B311" t="s">
        <v>440</v>
      </c>
      <c r="C311" t="s">
        <v>17</v>
      </c>
      <c r="D311" t="str" cm="1">
        <f t="array" ref="D31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11">
        <v>27</v>
      </c>
      <c r="F31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1" s="2">
        <v>22.5</v>
      </c>
      <c r="H31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1" t="s">
        <v>59</v>
      </c>
      <c r="J311" t="s">
        <v>441</v>
      </c>
      <c r="K311">
        <v>12</v>
      </c>
      <c r="L311">
        <v>3</v>
      </c>
      <c r="M311">
        <v>0</v>
      </c>
      <c r="N311">
        <v>1</v>
      </c>
      <c r="O311">
        <f>players[[#This Row],[Goals]]+players[[#This Row],[Assists]]</f>
        <v>4</v>
      </c>
      <c r="P311" s="1">
        <f>IF(players[[#This Row],[Matches]]&gt;0,players[[#This Row],[Total Goal Involvement]]/players[[#This Row],[Matches]],0)</f>
        <v>0.33333333333333331</v>
      </c>
      <c r="Q311" s="3">
        <f>players[[#This Row],[Total Goal Involvement per match]]/players[[#This Row],[Markey Value In Millions(£)]]</f>
        <v>1.4814814814814814E-2</v>
      </c>
      <c r="R311">
        <v>0</v>
      </c>
      <c r="S311">
        <v>0</v>
      </c>
      <c r="T311">
        <v>0</v>
      </c>
      <c r="U311">
        <v>1</v>
      </c>
      <c r="V311">
        <v>4</v>
      </c>
    </row>
    <row r="312" spans="1:22" x14ac:dyDescent="0.25">
      <c r="A312">
        <v>310</v>
      </c>
      <c r="B312" t="s">
        <v>442</v>
      </c>
      <c r="C312" t="s">
        <v>71</v>
      </c>
      <c r="D312" t="str" cm="1">
        <f t="array" ref="D31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12">
        <v>25</v>
      </c>
      <c r="F31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2" s="2">
        <v>22.5</v>
      </c>
      <c r="H31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2" t="s">
        <v>135</v>
      </c>
      <c r="J312" t="s">
        <v>308</v>
      </c>
      <c r="K312">
        <v>10</v>
      </c>
      <c r="L312">
        <v>0</v>
      </c>
      <c r="M312">
        <v>0</v>
      </c>
      <c r="N312">
        <v>0</v>
      </c>
      <c r="O312">
        <f>players[[#This Row],[Goals]]+players[[#This Row],[Assists]]</f>
        <v>0</v>
      </c>
      <c r="P312" s="1">
        <f>IF(players[[#This Row],[Matches]]&gt;0,players[[#This Row],[Total Goal Involvement]]/players[[#This Row],[Matches]],0)</f>
        <v>0</v>
      </c>
      <c r="Q312" s="3">
        <f>players[[#This Row],[Total Goal Involvement per match]]/players[[#This Row],[Markey Value In Millions(£)]]</f>
        <v>0</v>
      </c>
      <c r="R312">
        <v>1</v>
      </c>
      <c r="S312">
        <v>0</v>
      </c>
      <c r="T312">
        <v>0</v>
      </c>
      <c r="U312">
        <v>2</v>
      </c>
      <c r="V312">
        <v>0</v>
      </c>
    </row>
    <row r="313" spans="1:22" x14ac:dyDescent="0.25">
      <c r="A313">
        <v>311</v>
      </c>
      <c r="B313" t="s">
        <v>443</v>
      </c>
      <c r="C313" t="s">
        <v>77</v>
      </c>
      <c r="D313" t="str" cm="1">
        <f t="array" ref="D31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13">
        <v>25</v>
      </c>
      <c r="F31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3" s="2">
        <v>22.5</v>
      </c>
      <c r="H31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3" t="s">
        <v>55</v>
      </c>
      <c r="J313" t="s">
        <v>19</v>
      </c>
      <c r="K313">
        <v>9</v>
      </c>
      <c r="L313">
        <v>0</v>
      </c>
      <c r="M313">
        <v>0</v>
      </c>
      <c r="N313">
        <v>1</v>
      </c>
      <c r="O313">
        <f>players[[#This Row],[Goals]]+players[[#This Row],[Assists]]</f>
        <v>1</v>
      </c>
      <c r="P313" s="1">
        <f>IF(players[[#This Row],[Matches]]&gt;0,players[[#This Row],[Total Goal Involvement]]/players[[#This Row],[Matches]],0)</f>
        <v>0.1111111111111111</v>
      </c>
      <c r="Q313" s="3">
        <f>players[[#This Row],[Total Goal Involvement per match]]/players[[#This Row],[Markey Value In Millions(£)]]</f>
        <v>4.9382716049382715E-3</v>
      </c>
      <c r="R313">
        <v>2</v>
      </c>
      <c r="S313">
        <v>0</v>
      </c>
      <c r="T313">
        <v>0</v>
      </c>
      <c r="U313">
        <v>0</v>
      </c>
      <c r="V313">
        <v>3</v>
      </c>
    </row>
    <row r="314" spans="1:22" x14ac:dyDescent="0.25">
      <c r="A314">
        <v>312</v>
      </c>
      <c r="B314" t="s">
        <v>444</v>
      </c>
      <c r="C314" t="s">
        <v>71</v>
      </c>
      <c r="D314" t="str" cm="1">
        <f t="array" ref="D31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14">
        <v>25</v>
      </c>
      <c r="F31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4" s="2">
        <v>22.5</v>
      </c>
      <c r="H31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4" t="s">
        <v>50</v>
      </c>
      <c r="J314" t="s">
        <v>19</v>
      </c>
      <c r="K314">
        <v>12</v>
      </c>
      <c r="L314">
        <v>0</v>
      </c>
      <c r="M314">
        <v>0</v>
      </c>
      <c r="N314">
        <v>0</v>
      </c>
      <c r="O314">
        <f>players[[#This Row],[Goals]]+players[[#This Row],[Assists]]</f>
        <v>0</v>
      </c>
      <c r="P314" s="1">
        <f>IF(players[[#This Row],[Matches]]&gt;0,players[[#This Row],[Total Goal Involvement]]/players[[#This Row],[Matches]],0)</f>
        <v>0</v>
      </c>
      <c r="Q314" s="3">
        <f>players[[#This Row],[Total Goal Involvement per match]]/players[[#This Row],[Markey Value In Millions(£)]]</f>
        <v>0</v>
      </c>
      <c r="R314">
        <v>1</v>
      </c>
      <c r="S314">
        <v>0</v>
      </c>
      <c r="T314">
        <v>0</v>
      </c>
      <c r="U314">
        <v>3</v>
      </c>
      <c r="V314">
        <v>1</v>
      </c>
    </row>
    <row r="315" spans="1:22" x14ac:dyDescent="0.25">
      <c r="A315">
        <v>313</v>
      </c>
      <c r="B315" t="s">
        <v>445</v>
      </c>
      <c r="C315" t="s">
        <v>27</v>
      </c>
      <c r="D315" t="str" cm="1">
        <f t="array" ref="D31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15">
        <v>24</v>
      </c>
      <c r="F31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5" s="2">
        <v>22.5</v>
      </c>
      <c r="H31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5" t="s">
        <v>47</v>
      </c>
      <c r="J315" t="s">
        <v>217</v>
      </c>
      <c r="K315">
        <v>15</v>
      </c>
      <c r="L315">
        <v>3</v>
      </c>
      <c r="M315">
        <v>0</v>
      </c>
      <c r="N315">
        <v>4</v>
      </c>
      <c r="O315">
        <f>players[[#This Row],[Goals]]+players[[#This Row],[Assists]]</f>
        <v>7</v>
      </c>
      <c r="P315" s="1">
        <f>IF(players[[#This Row],[Matches]]&gt;0,players[[#This Row],[Total Goal Involvement]]/players[[#This Row],[Matches]],0)</f>
        <v>0.46666666666666667</v>
      </c>
      <c r="Q315" s="3">
        <f>players[[#This Row],[Total Goal Involvement per match]]/players[[#This Row],[Markey Value In Millions(£)]]</f>
        <v>2.074074074074074E-2</v>
      </c>
      <c r="R315">
        <v>1</v>
      </c>
      <c r="S315">
        <v>0</v>
      </c>
      <c r="T315">
        <v>0</v>
      </c>
      <c r="U315">
        <v>0</v>
      </c>
      <c r="V315">
        <v>11</v>
      </c>
    </row>
    <row r="316" spans="1:22" x14ac:dyDescent="0.25">
      <c r="A316">
        <v>314</v>
      </c>
      <c r="B316" t="s">
        <v>446</v>
      </c>
      <c r="C316" t="s">
        <v>37</v>
      </c>
      <c r="D316" t="str" cm="1">
        <f t="array" ref="D31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16">
        <v>28</v>
      </c>
      <c r="F31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6" s="2">
        <v>22.5</v>
      </c>
      <c r="H31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6" t="s">
        <v>18</v>
      </c>
      <c r="J316" t="s">
        <v>447</v>
      </c>
      <c r="K316">
        <v>16</v>
      </c>
      <c r="L316">
        <v>2</v>
      </c>
      <c r="M316">
        <v>0</v>
      </c>
      <c r="N316">
        <v>3</v>
      </c>
      <c r="O316">
        <f>players[[#This Row],[Goals]]+players[[#This Row],[Assists]]</f>
        <v>5</v>
      </c>
      <c r="P316" s="1">
        <f>IF(players[[#This Row],[Matches]]&gt;0,players[[#This Row],[Total Goal Involvement]]/players[[#This Row],[Matches]],0)</f>
        <v>0.3125</v>
      </c>
      <c r="Q316" s="3">
        <f>players[[#This Row],[Total Goal Involvement per match]]/players[[#This Row],[Markey Value In Millions(£)]]</f>
        <v>1.3888888888888888E-2</v>
      </c>
      <c r="R316">
        <v>5</v>
      </c>
      <c r="S316">
        <v>0</v>
      </c>
      <c r="T316">
        <v>1</v>
      </c>
      <c r="U316">
        <v>0</v>
      </c>
      <c r="V316">
        <v>9</v>
      </c>
    </row>
    <row r="317" spans="1:22" x14ac:dyDescent="0.25">
      <c r="A317">
        <v>315</v>
      </c>
      <c r="B317" t="s">
        <v>448</v>
      </c>
      <c r="C317" t="s">
        <v>71</v>
      </c>
      <c r="D317" t="str" cm="1">
        <f t="array" ref="D31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17">
        <v>25</v>
      </c>
      <c r="F31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7" s="2">
        <v>22.5</v>
      </c>
      <c r="H31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7" t="s">
        <v>324</v>
      </c>
      <c r="J317" t="s">
        <v>366</v>
      </c>
      <c r="K317">
        <v>13</v>
      </c>
      <c r="L317">
        <v>0</v>
      </c>
      <c r="M317">
        <v>0</v>
      </c>
      <c r="N317">
        <v>1</v>
      </c>
      <c r="O317">
        <f>players[[#This Row],[Goals]]+players[[#This Row],[Assists]]</f>
        <v>1</v>
      </c>
      <c r="P317" s="1">
        <f>IF(players[[#This Row],[Matches]]&gt;0,players[[#This Row],[Total Goal Involvement]]/players[[#This Row],[Matches]],0)</f>
        <v>7.6923076923076927E-2</v>
      </c>
      <c r="Q317" s="3">
        <f>players[[#This Row],[Total Goal Involvement per match]]/players[[#This Row],[Markey Value In Millions(£)]]</f>
        <v>3.4188034188034188E-3</v>
      </c>
      <c r="R317">
        <v>1</v>
      </c>
      <c r="S317">
        <v>0</v>
      </c>
      <c r="T317">
        <v>0</v>
      </c>
      <c r="U317">
        <v>0</v>
      </c>
      <c r="V317">
        <v>1</v>
      </c>
    </row>
    <row r="318" spans="1:22" x14ac:dyDescent="0.25">
      <c r="A318">
        <v>316</v>
      </c>
      <c r="B318" t="s">
        <v>449</v>
      </c>
      <c r="C318" t="s">
        <v>99</v>
      </c>
      <c r="D318" t="str" cm="1">
        <f t="array" ref="D31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318">
        <v>26</v>
      </c>
      <c r="F31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8" s="2">
        <v>22.5</v>
      </c>
      <c r="H31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8" t="s">
        <v>18</v>
      </c>
      <c r="J318" t="s">
        <v>141</v>
      </c>
      <c r="K318">
        <v>9</v>
      </c>
      <c r="L318">
        <v>0</v>
      </c>
      <c r="M318">
        <v>0</v>
      </c>
      <c r="N318">
        <v>0</v>
      </c>
      <c r="O318">
        <f>players[[#This Row],[Goals]]+players[[#This Row],[Assists]]</f>
        <v>0</v>
      </c>
      <c r="P318" s="1">
        <f>IF(players[[#This Row],[Matches]]&gt;0,players[[#This Row],[Total Goal Involvement]]/players[[#This Row],[Matches]],0)</f>
        <v>0</v>
      </c>
      <c r="Q318" s="3">
        <f>players[[#This Row],[Total Goal Involvement per match]]/players[[#This Row],[Markey Value In Millions(£)]]</f>
        <v>0</v>
      </c>
      <c r="R318">
        <v>1</v>
      </c>
      <c r="S318">
        <v>0</v>
      </c>
      <c r="T318">
        <v>0</v>
      </c>
      <c r="U318">
        <v>0</v>
      </c>
      <c r="V318">
        <v>0</v>
      </c>
    </row>
    <row r="319" spans="1:22" x14ac:dyDescent="0.25">
      <c r="A319">
        <v>317</v>
      </c>
      <c r="B319" t="s">
        <v>450</v>
      </c>
      <c r="C319" t="s">
        <v>17</v>
      </c>
      <c r="D319" t="str" cm="1">
        <f t="array" ref="D31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19">
        <v>26</v>
      </c>
      <c r="F31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19" s="2">
        <v>22.5</v>
      </c>
      <c r="H31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19" t="s">
        <v>451</v>
      </c>
      <c r="J319" t="s">
        <v>452</v>
      </c>
      <c r="K319">
        <v>18</v>
      </c>
      <c r="L319">
        <v>9</v>
      </c>
      <c r="M319">
        <v>0</v>
      </c>
      <c r="N319">
        <v>4</v>
      </c>
      <c r="O319">
        <f>players[[#This Row],[Goals]]+players[[#This Row],[Assists]]</f>
        <v>13</v>
      </c>
      <c r="P319" s="1">
        <f>IF(players[[#This Row],[Matches]]&gt;0,players[[#This Row],[Total Goal Involvement]]/players[[#This Row],[Matches]],0)</f>
        <v>0.72222222222222221</v>
      </c>
      <c r="Q319" s="3">
        <f>players[[#This Row],[Total Goal Involvement per match]]/players[[#This Row],[Markey Value In Millions(£)]]</f>
        <v>3.2098765432098768E-2</v>
      </c>
      <c r="R319">
        <v>1</v>
      </c>
      <c r="S319">
        <v>0</v>
      </c>
      <c r="T319">
        <v>1</v>
      </c>
      <c r="U319">
        <v>5</v>
      </c>
      <c r="V319">
        <v>4</v>
      </c>
    </row>
    <row r="320" spans="1:22" x14ac:dyDescent="0.25">
      <c r="A320">
        <v>318</v>
      </c>
      <c r="B320" t="s">
        <v>453</v>
      </c>
      <c r="C320" t="s">
        <v>71</v>
      </c>
      <c r="D320" t="str" cm="1">
        <f t="array" ref="D32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20">
        <v>29</v>
      </c>
      <c r="F32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0" s="2">
        <v>22.5</v>
      </c>
      <c r="H32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0" t="s">
        <v>24</v>
      </c>
      <c r="J320" t="s">
        <v>454</v>
      </c>
      <c r="K320">
        <v>12</v>
      </c>
      <c r="L320">
        <v>1</v>
      </c>
      <c r="M320">
        <v>0</v>
      </c>
      <c r="N320">
        <v>0</v>
      </c>
      <c r="O320">
        <f>players[[#This Row],[Goals]]+players[[#This Row],[Assists]]</f>
        <v>1</v>
      </c>
      <c r="P320" s="1">
        <f>IF(players[[#This Row],[Matches]]&gt;0,players[[#This Row],[Total Goal Involvement]]/players[[#This Row],[Matches]],0)</f>
        <v>8.3333333333333329E-2</v>
      </c>
      <c r="Q320" s="3">
        <f>players[[#This Row],[Total Goal Involvement per match]]/players[[#This Row],[Markey Value In Millions(£)]]</f>
        <v>3.7037037037037034E-3</v>
      </c>
      <c r="R320">
        <v>5</v>
      </c>
      <c r="S320">
        <v>0</v>
      </c>
      <c r="T320">
        <v>0</v>
      </c>
      <c r="U320">
        <v>0</v>
      </c>
      <c r="V320">
        <v>0</v>
      </c>
    </row>
    <row r="321" spans="1:22" x14ac:dyDescent="0.25">
      <c r="A321">
        <v>319</v>
      </c>
      <c r="B321" t="s">
        <v>455</v>
      </c>
      <c r="C321" t="s">
        <v>71</v>
      </c>
      <c r="D321" t="str" cm="1">
        <f t="array" ref="D32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21">
        <v>30</v>
      </c>
      <c r="F321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21" s="2">
        <v>22.5</v>
      </c>
      <c r="H32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1" t="s">
        <v>59</v>
      </c>
      <c r="J321" t="s">
        <v>441</v>
      </c>
      <c r="K321">
        <v>10</v>
      </c>
      <c r="L321">
        <v>2</v>
      </c>
      <c r="M321">
        <v>0</v>
      </c>
      <c r="N321">
        <v>0</v>
      </c>
      <c r="O321">
        <f>players[[#This Row],[Goals]]+players[[#This Row],[Assists]]</f>
        <v>2</v>
      </c>
      <c r="P321" s="1">
        <f>IF(players[[#This Row],[Matches]]&gt;0,players[[#This Row],[Total Goal Involvement]]/players[[#This Row],[Matches]],0)</f>
        <v>0.2</v>
      </c>
      <c r="Q321" s="3">
        <f>players[[#This Row],[Total Goal Involvement per match]]/players[[#This Row],[Markey Value In Millions(£)]]</f>
        <v>8.8888888888888889E-3</v>
      </c>
      <c r="R321">
        <v>2</v>
      </c>
      <c r="S321">
        <v>1</v>
      </c>
      <c r="T321">
        <v>0</v>
      </c>
      <c r="U321">
        <v>0</v>
      </c>
      <c r="V321">
        <v>0</v>
      </c>
    </row>
    <row r="322" spans="1:22" x14ac:dyDescent="0.25">
      <c r="A322">
        <v>320</v>
      </c>
      <c r="B322" t="s">
        <v>456</v>
      </c>
      <c r="C322" t="s">
        <v>43</v>
      </c>
      <c r="D322" t="str" cm="1">
        <f t="array" ref="D32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22">
        <v>29</v>
      </c>
      <c r="F32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2" s="2">
        <v>22.5</v>
      </c>
      <c r="H32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2" t="s">
        <v>324</v>
      </c>
      <c r="J322" t="s">
        <v>277</v>
      </c>
      <c r="K322">
        <v>15</v>
      </c>
      <c r="L322">
        <v>1</v>
      </c>
      <c r="M322">
        <v>0</v>
      </c>
      <c r="N322">
        <v>0</v>
      </c>
      <c r="O322">
        <f>players[[#This Row],[Goals]]+players[[#This Row],[Assists]]</f>
        <v>1</v>
      </c>
      <c r="P322" s="1">
        <f>IF(players[[#This Row],[Matches]]&gt;0,players[[#This Row],[Total Goal Involvement]]/players[[#This Row],[Matches]],0)</f>
        <v>6.6666666666666666E-2</v>
      </c>
      <c r="Q322" s="3">
        <f>players[[#This Row],[Total Goal Involvement per match]]/players[[#This Row],[Markey Value In Millions(£)]]</f>
        <v>2.9629629629629628E-3</v>
      </c>
      <c r="R322">
        <v>2</v>
      </c>
      <c r="S322">
        <v>0</v>
      </c>
      <c r="T322">
        <v>0</v>
      </c>
      <c r="U322">
        <v>1</v>
      </c>
      <c r="V322">
        <v>3</v>
      </c>
    </row>
    <row r="323" spans="1:22" x14ac:dyDescent="0.25">
      <c r="A323">
        <v>321</v>
      </c>
      <c r="B323" t="s">
        <v>457</v>
      </c>
      <c r="C323" t="s">
        <v>71</v>
      </c>
      <c r="D323" t="str" cm="1">
        <f t="array" ref="D32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23">
        <v>29</v>
      </c>
      <c r="F32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3" s="2">
        <v>22.5</v>
      </c>
      <c r="H32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3" t="s">
        <v>24</v>
      </c>
      <c r="J323" t="s">
        <v>416</v>
      </c>
      <c r="K323">
        <v>12</v>
      </c>
      <c r="L323">
        <v>0</v>
      </c>
      <c r="M323">
        <v>0</v>
      </c>
      <c r="N323">
        <v>0</v>
      </c>
      <c r="O323">
        <f>players[[#This Row],[Goals]]+players[[#This Row],[Assists]]</f>
        <v>0</v>
      </c>
      <c r="P323" s="1">
        <f>IF(players[[#This Row],[Matches]]&gt;0,players[[#This Row],[Total Goal Involvement]]/players[[#This Row],[Matches]],0)</f>
        <v>0</v>
      </c>
      <c r="Q323" s="3">
        <f>players[[#This Row],[Total Goal Involvement per match]]/players[[#This Row],[Markey Value In Millions(£)]]</f>
        <v>0</v>
      </c>
      <c r="R323">
        <v>0</v>
      </c>
      <c r="S323">
        <v>0</v>
      </c>
      <c r="T323">
        <v>0</v>
      </c>
      <c r="U323">
        <v>1</v>
      </c>
      <c r="V323">
        <v>0</v>
      </c>
    </row>
    <row r="324" spans="1:22" x14ac:dyDescent="0.25">
      <c r="A324">
        <v>322</v>
      </c>
      <c r="B324" t="s">
        <v>458</v>
      </c>
      <c r="C324" t="s">
        <v>69</v>
      </c>
      <c r="D324" t="str" cm="1">
        <f t="array" ref="D32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24">
        <v>29</v>
      </c>
      <c r="F32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4" s="2">
        <v>22.5</v>
      </c>
      <c r="H32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4" t="s">
        <v>59</v>
      </c>
      <c r="J324" t="s">
        <v>102</v>
      </c>
      <c r="K324">
        <v>10</v>
      </c>
      <c r="L324">
        <v>1</v>
      </c>
      <c r="M324">
        <v>0</v>
      </c>
      <c r="N324">
        <v>0</v>
      </c>
      <c r="O324">
        <f>players[[#This Row],[Goals]]+players[[#This Row],[Assists]]</f>
        <v>1</v>
      </c>
      <c r="P324" s="1">
        <f>IF(players[[#This Row],[Matches]]&gt;0,players[[#This Row],[Total Goal Involvement]]/players[[#This Row],[Matches]],0)</f>
        <v>0.1</v>
      </c>
      <c r="Q324" s="3">
        <f>players[[#This Row],[Total Goal Involvement per match]]/players[[#This Row],[Markey Value In Millions(£)]]</f>
        <v>4.4444444444444444E-3</v>
      </c>
      <c r="R324">
        <v>0</v>
      </c>
      <c r="S324">
        <v>0</v>
      </c>
      <c r="T324">
        <v>0</v>
      </c>
      <c r="U324">
        <v>3</v>
      </c>
      <c r="V324">
        <v>4</v>
      </c>
    </row>
    <row r="325" spans="1:22" x14ac:dyDescent="0.25">
      <c r="A325">
        <v>323</v>
      </c>
      <c r="B325" t="s">
        <v>459</v>
      </c>
      <c r="C325" t="s">
        <v>99</v>
      </c>
      <c r="D325" t="str" cm="1">
        <f t="array" ref="D32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325">
        <v>27</v>
      </c>
      <c r="F32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5" s="2">
        <v>22.5</v>
      </c>
      <c r="H32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5" t="s">
        <v>24</v>
      </c>
      <c r="J325" t="s">
        <v>138</v>
      </c>
      <c r="K325">
        <v>10</v>
      </c>
      <c r="L325">
        <v>0</v>
      </c>
      <c r="M325">
        <v>0</v>
      </c>
      <c r="N325">
        <v>0</v>
      </c>
      <c r="O325">
        <f>players[[#This Row],[Goals]]+players[[#This Row],[Assists]]</f>
        <v>0</v>
      </c>
      <c r="P325" s="1">
        <f>IF(players[[#This Row],[Matches]]&gt;0,players[[#This Row],[Total Goal Involvement]]/players[[#This Row],[Matches]],0)</f>
        <v>0</v>
      </c>
      <c r="Q325" s="3">
        <f>players[[#This Row],[Total Goal Involvement per match]]/players[[#This Row],[Markey Value In Millions(£)]]</f>
        <v>0</v>
      </c>
      <c r="R325">
        <v>1</v>
      </c>
      <c r="S325">
        <v>0</v>
      </c>
      <c r="T325">
        <v>0</v>
      </c>
      <c r="U325">
        <v>0</v>
      </c>
      <c r="V325">
        <v>0</v>
      </c>
    </row>
    <row r="326" spans="1:22" x14ac:dyDescent="0.25">
      <c r="A326">
        <v>324</v>
      </c>
      <c r="B326" t="s">
        <v>460</v>
      </c>
      <c r="C326" t="s">
        <v>71</v>
      </c>
      <c r="D326" t="str" cm="1">
        <f t="array" ref="D32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26">
        <v>28</v>
      </c>
      <c r="F32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6" s="2">
        <v>22.5</v>
      </c>
      <c r="H32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6" t="s">
        <v>24</v>
      </c>
      <c r="J326" t="s">
        <v>204</v>
      </c>
      <c r="K326">
        <v>13</v>
      </c>
      <c r="L326">
        <v>1</v>
      </c>
      <c r="M326">
        <v>0</v>
      </c>
      <c r="N326">
        <v>0</v>
      </c>
      <c r="O326">
        <f>players[[#This Row],[Goals]]+players[[#This Row],[Assists]]</f>
        <v>1</v>
      </c>
      <c r="P326" s="1">
        <f>IF(players[[#This Row],[Matches]]&gt;0,players[[#This Row],[Total Goal Involvement]]/players[[#This Row],[Matches]],0)</f>
        <v>7.6923076923076927E-2</v>
      </c>
      <c r="Q326" s="3">
        <f>players[[#This Row],[Total Goal Involvement per match]]/players[[#This Row],[Markey Value In Millions(£)]]</f>
        <v>3.4188034188034188E-3</v>
      </c>
      <c r="R326">
        <v>1</v>
      </c>
      <c r="S326">
        <v>0</v>
      </c>
      <c r="T326">
        <v>0</v>
      </c>
      <c r="U326">
        <v>1</v>
      </c>
      <c r="V326">
        <v>1</v>
      </c>
    </row>
    <row r="327" spans="1:22" x14ac:dyDescent="0.25">
      <c r="A327">
        <v>325</v>
      </c>
      <c r="B327" t="s">
        <v>461</v>
      </c>
      <c r="C327" t="s">
        <v>43</v>
      </c>
      <c r="D327" t="str" cm="1">
        <f t="array" ref="D32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27">
        <v>28</v>
      </c>
      <c r="F32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7" s="2">
        <v>22.5</v>
      </c>
      <c r="H32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7" t="s">
        <v>18</v>
      </c>
      <c r="J327" t="s">
        <v>138</v>
      </c>
      <c r="K327">
        <v>9</v>
      </c>
      <c r="L327">
        <v>2</v>
      </c>
      <c r="M327">
        <v>0</v>
      </c>
      <c r="N327">
        <v>4</v>
      </c>
      <c r="O327">
        <f>players[[#This Row],[Goals]]+players[[#This Row],[Assists]]</f>
        <v>6</v>
      </c>
      <c r="P327" s="1">
        <f>IF(players[[#This Row],[Matches]]&gt;0,players[[#This Row],[Total Goal Involvement]]/players[[#This Row],[Matches]],0)</f>
        <v>0.66666666666666663</v>
      </c>
      <c r="Q327" s="3">
        <f>players[[#This Row],[Total Goal Involvement per match]]/players[[#This Row],[Markey Value In Millions(£)]]</f>
        <v>2.9629629629629627E-2</v>
      </c>
      <c r="R327">
        <v>3</v>
      </c>
      <c r="S327">
        <v>0</v>
      </c>
      <c r="T327">
        <v>0</v>
      </c>
      <c r="U327">
        <v>1</v>
      </c>
      <c r="V327">
        <v>0</v>
      </c>
    </row>
    <row r="328" spans="1:22" x14ac:dyDescent="0.25">
      <c r="A328">
        <v>326</v>
      </c>
      <c r="B328" t="s">
        <v>462</v>
      </c>
      <c r="C328" t="s">
        <v>71</v>
      </c>
      <c r="D328" t="str" cm="1">
        <f t="array" ref="D32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28">
        <v>28</v>
      </c>
      <c r="F32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28" s="2">
        <v>22.5</v>
      </c>
      <c r="H32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8" t="s">
        <v>24</v>
      </c>
      <c r="J328" t="s">
        <v>138</v>
      </c>
      <c r="K328">
        <v>13</v>
      </c>
      <c r="L328">
        <v>1</v>
      </c>
      <c r="M328">
        <v>0</v>
      </c>
      <c r="N328">
        <v>2</v>
      </c>
      <c r="O328">
        <f>players[[#This Row],[Goals]]+players[[#This Row],[Assists]]</f>
        <v>3</v>
      </c>
      <c r="P328" s="1">
        <f>IF(players[[#This Row],[Matches]]&gt;0,players[[#This Row],[Total Goal Involvement]]/players[[#This Row],[Matches]],0)</f>
        <v>0.23076923076923078</v>
      </c>
      <c r="Q328" s="3">
        <f>players[[#This Row],[Total Goal Involvement per match]]/players[[#This Row],[Markey Value In Millions(£)]]</f>
        <v>1.0256410256410256E-2</v>
      </c>
      <c r="R328">
        <v>0</v>
      </c>
      <c r="S328">
        <v>0</v>
      </c>
      <c r="T328">
        <v>0</v>
      </c>
      <c r="U328">
        <v>1</v>
      </c>
      <c r="V328">
        <v>0</v>
      </c>
    </row>
    <row r="329" spans="1:22" x14ac:dyDescent="0.25">
      <c r="A329">
        <v>327</v>
      </c>
      <c r="B329" t="s">
        <v>463</v>
      </c>
      <c r="C329" t="s">
        <v>71</v>
      </c>
      <c r="D329" t="str" cm="1">
        <f t="array" ref="D32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29">
        <v>30</v>
      </c>
      <c r="F329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29" s="2">
        <v>22.5</v>
      </c>
      <c r="H32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29" t="s">
        <v>464</v>
      </c>
      <c r="J329" t="s">
        <v>65</v>
      </c>
      <c r="K329">
        <v>10</v>
      </c>
      <c r="L329">
        <v>0</v>
      </c>
      <c r="M329">
        <v>1</v>
      </c>
      <c r="N329">
        <v>0</v>
      </c>
      <c r="O329">
        <f>players[[#This Row],[Goals]]+players[[#This Row],[Assists]]</f>
        <v>0</v>
      </c>
      <c r="P329" s="1">
        <f>IF(players[[#This Row],[Matches]]&gt;0,players[[#This Row],[Total Goal Involvement]]/players[[#This Row],[Matches]],0)</f>
        <v>0</v>
      </c>
      <c r="Q329" s="3">
        <f>players[[#This Row],[Total Goal Involvement per match]]/players[[#This Row],[Markey Value In Millions(£)]]</f>
        <v>0</v>
      </c>
      <c r="R329">
        <v>2</v>
      </c>
      <c r="S329">
        <v>0</v>
      </c>
      <c r="T329">
        <v>0</v>
      </c>
      <c r="U329">
        <v>0</v>
      </c>
      <c r="V329">
        <v>0</v>
      </c>
    </row>
    <row r="330" spans="1:22" x14ac:dyDescent="0.25">
      <c r="A330">
        <v>328</v>
      </c>
      <c r="B330" t="s">
        <v>465</v>
      </c>
      <c r="C330" t="s">
        <v>30</v>
      </c>
      <c r="D330" t="str" cm="1">
        <f t="array" ref="D33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0">
        <v>29</v>
      </c>
      <c r="F33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30" s="2">
        <v>22.5</v>
      </c>
      <c r="H33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0" t="s">
        <v>39</v>
      </c>
      <c r="J330" t="s">
        <v>25</v>
      </c>
      <c r="K330">
        <v>15</v>
      </c>
      <c r="L330">
        <v>2</v>
      </c>
      <c r="M330">
        <v>0</v>
      </c>
      <c r="N330">
        <v>1</v>
      </c>
      <c r="O330">
        <f>players[[#This Row],[Goals]]+players[[#This Row],[Assists]]</f>
        <v>3</v>
      </c>
      <c r="P330" s="1">
        <f>IF(players[[#This Row],[Matches]]&gt;0,players[[#This Row],[Total Goal Involvement]]/players[[#This Row],[Matches]],0)</f>
        <v>0.2</v>
      </c>
      <c r="Q330" s="3">
        <f>players[[#This Row],[Total Goal Involvement per match]]/players[[#This Row],[Markey Value In Millions(£)]]</f>
        <v>8.8888888888888889E-3</v>
      </c>
      <c r="R330">
        <v>2</v>
      </c>
      <c r="S330">
        <v>0</v>
      </c>
      <c r="T330">
        <v>0</v>
      </c>
      <c r="U330">
        <v>3</v>
      </c>
      <c r="V330">
        <v>8</v>
      </c>
    </row>
    <row r="331" spans="1:22" x14ac:dyDescent="0.25">
      <c r="A331">
        <v>329</v>
      </c>
      <c r="B331" t="s">
        <v>466</v>
      </c>
      <c r="C331" t="s">
        <v>30</v>
      </c>
      <c r="D331" t="str" cm="1">
        <f t="array" ref="D33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1">
        <v>29</v>
      </c>
      <c r="F33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31" s="2">
        <v>22.5</v>
      </c>
      <c r="H33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1" t="s">
        <v>59</v>
      </c>
      <c r="J331" t="s">
        <v>411</v>
      </c>
      <c r="K331">
        <v>15</v>
      </c>
      <c r="L331">
        <v>3</v>
      </c>
      <c r="M331">
        <v>0</v>
      </c>
      <c r="N331">
        <v>3</v>
      </c>
      <c r="O331">
        <f>players[[#This Row],[Goals]]+players[[#This Row],[Assists]]</f>
        <v>6</v>
      </c>
      <c r="P331" s="1">
        <f>IF(players[[#This Row],[Matches]]&gt;0,players[[#This Row],[Total Goal Involvement]]/players[[#This Row],[Matches]],0)</f>
        <v>0.4</v>
      </c>
      <c r="Q331" s="3">
        <f>players[[#This Row],[Total Goal Involvement per match]]/players[[#This Row],[Markey Value In Millions(£)]]</f>
        <v>1.7777777777777778E-2</v>
      </c>
      <c r="R331">
        <v>2</v>
      </c>
      <c r="S331">
        <v>0</v>
      </c>
      <c r="T331">
        <v>0</v>
      </c>
      <c r="U331">
        <v>5</v>
      </c>
      <c r="V331">
        <v>9</v>
      </c>
    </row>
    <row r="332" spans="1:22" x14ac:dyDescent="0.25">
      <c r="A332">
        <v>330</v>
      </c>
      <c r="B332" t="s">
        <v>467</v>
      </c>
      <c r="C332" t="s">
        <v>43</v>
      </c>
      <c r="D332" t="str" cm="1">
        <f t="array" ref="D33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32">
        <v>30</v>
      </c>
      <c r="F332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32" s="2">
        <v>22.5</v>
      </c>
      <c r="H33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2" t="s">
        <v>59</v>
      </c>
      <c r="J332" t="s">
        <v>32</v>
      </c>
      <c r="K332">
        <v>7</v>
      </c>
      <c r="L332">
        <v>0</v>
      </c>
      <c r="M332">
        <v>0</v>
      </c>
      <c r="N332">
        <v>1</v>
      </c>
      <c r="O332">
        <f>players[[#This Row],[Goals]]+players[[#This Row],[Assists]]</f>
        <v>1</v>
      </c>
      <c r="P332" s="1">
        <f>IF(players[[#This Row],[Matches]]&gt;0,players[[#This Row],[Total Goal Involvement]]/players[[#This Row],[Matches]],0)</f>
        <v>0.14285714285714285</v>
      </c>
      <c r="Q332" s="3">
        <f>players[[#This Row],[Total Goal Involvement per match]]/players[[#This Row],[Markey Value In Millions(£)]]</f>
        <v>6.3492063492063492E-3</v>
      </c>
      <c r="R332">
        <v>0</v>
      </c>
      <c r="S332">
        <v>0</v>
      </c>
      <c r="T332">
        <v>0</v>
      </c>
      <c r="U332">
        <v>5</v>
      </c>
      <c r="V332">
        <v>2</v>
      </c>
    </row>
    <row r="333" spans="1:22" x14ac:dyDescent="0.25">
      <c r="A333">
        <v>331</v>
      </c>
      <c r="B333" t="s">
        <v>468</v>
      </c>
      <c r="C333" t="s">
        <v>17</v>
      </c>
      <c r="D333" t="str" cm="1">
        <f t="array" ref="D33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3">
        <v>32</v>
      </c>
      <c r="F333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33" s="2">
        <v>22.5</v>
      </c>
      <c r="H33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3" t="s">
        <v>469</v>
      </c>
      <c r="J333" t="s">
        <v>107</v>
      </c>
      <c r="K333">
        <v>11</v>
      </c>
      <c r="L333">
        <v>7</v>
      </c>
      <c r="M333">
        <v>0</v>
      </c>
      <c r="N333">
        <v>2</v>
      </c>
      <c r="O333">
        <f>players[[#This Row],[Goals]]+players[[#This Row],[Assists]]</f>
        <v>9</v>
      </c>
      <c r="P333" s="1">
        <f>IF(players[[#This Row],[Matches]]&gt;0,players[[#This Row],[Total Goal Involvement]]/players[[#This Row],[Matches]],0)</f>
        <v>0.81818181818181823</v>
      </c>
      <c r="Q333" s="3">
        <f>players[[#This Row],[Total Goal Involvement per match]]/players[[#This Row],[Markey Value In Millions(£)]]</f>
        <v>3.6363636363636369E-2</v>
      </c>
      <c r="R333">
        <v>2</v>
      </c>
      <c r="S333">
        <v>0</v>
      </c>
      <c r="T333">
        <v>0</v>
      </c>
      <c r="U333">
        <v>1</v>
      </c>
      <c r="V333">
        <v>4</v>
      </c>
    </row>
    <row r="334" spans="1:22" x14ac:dyDescent="0.25">
      <c r="A334">
        <v>332</v>
      </c>
      <c r="B334" t="s">
        <v>470</v>
      </c>
      <c r="C334" t="s">
        <v>27</v>
      </c>
      <c r="D334" t="str" cm="1">
        <f t="array" ref="D33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4">
        <v>30</v>
      </c>
      <c r="F334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34" s="2">
        <v>22.5</v>
      </c>
      <c r="H33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4" t="s">
        <v>34</v>
      </c>
      <c r="J334" t="s">
        <v>102</v>
      </c>
      <c r="K334">
        <v>11</v>
      </c>
      <c r="L334">
        <v>0</v>
      </c>
      <c r="M334">
        <v>0</v>
      </c>
      <c r="N334">
        <v>1</v>
      </c>
      <c r="O334">
        <f>players[[#This Row],[Goals]]+players[[#This Row],[Assists]]</f>
        <v>1</v>
      </c>
      <c r="P334" s="1">
        <f>IF(players[[#This Row],[Matches]]&gt;0,players[[#This Row],[Total Goal Involvement]]/players[[#This Row],[Matches]],0)</f>
        <v>9.0909090909090912E-2</v>
      </c>
      <c r="Q334" s="3">
        <f>players[[#This Row],[Total Goal Involvement per match]]/players[[#This Row],[Markey Value In Millions(£)]]</f>
        <v>4.0404040404040404E-3</v>
      </c>
      <c r="R334">
        <v>1</v>
      </c>
      <c r="S334">
        <v>0</v>
      </c>
      <c r="T334">
        <v>0</v>
      </c>
      <c r="U334">
        <v>6</v>
      </c>
      <c r="V334">
        <v>5</v>
      </c>
    </row>
    <row r="335" spans="1:22" x14ac:dyDescent="0.25">
      <c r="A335">
        <v>333</v>
      </c>
      <c r="B335" t="s">
        <v>471</v>
      </c>
      <c r="C335" t="s">
        <v>17</v>
      </c>
      <c r="D335" t="str" cm="1">
        <f t="array" ref="D33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5">
        <v>33</v>
      </c>
      <c r="F335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35" s="2">
        <v>22.5</v>
      </c>
      <c r="H33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5" t="s">
        <v>18</v>
      </c>
      <c r="J335" t="s">
        <v>102</v>
      </c>
      <c r="K335">
        <v>15</v>
      </c>
      <c r="L335">
        <v>14</v>
      </c>
      <c r="M335">
        <v>0</v>
      </c>
      <c r="N335">
        <v>8</v>
      </c>
      <c r="O335">
        <f>players[[#This Row],[Goals]]+players[[#This Row],[Assists]]</f>
        <v>22</v>
      </c>
      <c r="P335" s="1">
        <f>IF(players[[#This Row],[Matches]]&gt;0,players[[#This Row],[Total Goal Involvement]]/players[[#This Row],[Matches]],0)</f>
        <v>1.4666666666666666</v>
      </c>
      <c r="Q335" s="3">
        <f>players[[#This Row],[Total Goal Involvement per match]]/players[[#This Row],[Markey Value In Millions(£)]]</f>
        <v>6.5185185185185179E-2</v>
      </c>
      <c r="R335">
        <v>0</v>
      </c>
      <c r="S335">
        <v>0</v>
      </c>
      <c r="T335">
        <v>0</v>
      </c>
      <c r="U335">
        <v>0</v>
      </c>
      <c r="V335">
        <v>4</v>
      </c>
    </row>
    <row r="336" spans="1:22" x14ac:dyDescent="0.25">
      <c r="A336">
        <v>334</v>
      </c>
      <c r="B336" t="s">
        <v>472</v>
      </c>
      <c r="C336" t="s">
        <v>27</v>
      </c>
      <c r="D336" t="str" cm="1">
        <f t="array" ref="D33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6">
        <v>23</v>
      </c>
      <c r="F336" t="str">
        <f>IF(players[[#This Row],[Age]]&gt;34,"Veterans",IF(players[[#This Row],[Age]]&gt;29,"Experienced",IF(players[[#This Row],[Age]]&gt;23,"Career peak",IF(players[[#This Row],[Age]]&gt;19,"Young","Teenagers"))))</f>
        <v>Young</v>
      </c>
      <c r="G336" s="2">
        <v>21.6</v>
      </c>
      <c r="H33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6" t="s">
        <v>62</v>
      </c>
      <c r="J336" t="s">
        <v>159</v>
      </c>
      <c r="K336">
        <v>9</v>
      </c>
      <c r="L336">
        <v>3</v>
      </c>
      <c r="M336">
        <v>0</v>
      </c>
      <c r="N336">
        <v>2</v>
      </c>
      <c r="O336">
        <f>players[[#This Row],[Goals]]+players[[#This Row],[Assists]]</f>
        <v>5</v>
      </c>
      <c r="P336" s="1">
        <f>IF(players[[#This Row],[Matches]]&gt;0,players[[#This Row],[Total Goal Involvement]]/players[[#This Row],[Matches]],0)</f>
        <v>0.55555555555555558</v>
      </c>
      <c r="Q336" s="3">
        <f>players[[#This Row],[Total Goal Involvement per match]]/players[[#This Row],[Markey Value In Millions(£)]]</f>
        <v>2.5720164609053499E-2</v>
      </c>
      <c r="R336">
        <v>0</v>
      </c>
      <c r="S336">
        <v>1</v>
      </c>
      <c r="T336">
        <v>0</v>
      </c>
      <c r="U336">
        <v>2</v>
      </c>
      <c r="V336">
        <v>4</v>
      </c>
    </row>
    <row r="337" spans="1:22" x14ac:dyDescent="0.25">
      <c r="A337">
        <v>335</v>
      </c>
      <c r="B337" t="s">
        <v>473</v>
      </c>
      <c r="C337" t="s">
        <v>43</v>
      </c>
      <c r="D337" t="str" cm="1">
        <f t="array" ref="D33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37">
        <v>23</v>
      </c>
      <c r="F337" t="str">
        <f>IF(players[[#This Row],[Age]]&gt;34,"Veterans",IF(players[[#This Row],[Age]]&gt;29,"Experienced",IF(players[[#This Row],[Age]]&gt;23,"Career peak",IF(players[[#This Row],[Age]]&gt;19,"Young","Teenagers"))))</f>
        <v>Young</v>
      </c>
      <c r="G337" s="2">
        <v>21.6</v>
      </c>
      <c r="H33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7" t="s">
        <v>415</v>
      </c>
      <c r="J337" t="s">
        <v>165</v>
      </c>
      <c r="K337">
        <v>16</v>
      </c>
      <c r="L337">
        <v>3</v>
      </c>
      <c r="M337">
        <v>0</v>
      </c>
      <c r="N337">
        <v>0</v>
      </c>
      <c r="O337">
        <f>players[[#This Row],[Goals]]+players[[#This Row],[Assists]]</f>
        <v>3</v>
      </c>
      <c r="P337" s="1">
        <f>IF(players[[#This Row],[Matches]]&gt;0,players[[#This Row],[Total Goal Involvement]]/players[[#This Row],[Matches]],0)</f>
        <v>0.1875</v>
      </c>
      <c r="Q337" s="3">
        <f>players[[#This Row],[Total Goal Involvement per match]]/players[[#This Row],[Markey Value In Millions(£)]]</f>
        <v>8.6805555555555542E-3</v>
      </c>
      <c r="R337">
        <v>1</v>
      </c>
      <c r="S337">
        <v>0</v>
      </c>
      <c r="T337">
        <v>0</v>
      </c>
      <c r="U337">
        <v>4</v>
      </c>
      <c r="V337">
        <v>7</v>
      </c>
    </row>
    <row r="338" spans="1:22" x14ac:dyDescent="0.25">
      <c r="A338">
        <v>336</v>
      </c>
      <c r="B338" t="s">
        <v>474</v>
      </c>
      <c r="C338" t="s">
        <v>30</v>
      </c>
      <c r="D338" t="str" cm="1">
        <f t="array" ref="D33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38">
        <v>28</v>
      </c>
      <c r="F33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38" s="2">
        <v>21.6</v>
      </c>
      <c r="H33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8" t="s">
        <v>47</v>
      </c>
      <c r="J338" t="s">
        <v>475</v>
      </c>
      <c r="K338">
        <v>20</v>
      </c>
      <c r="L338">
        <v>8</v>
      </c>
      <c r="M338">
        <v>0</v>
      </c>
      <c r="N338">
        <v>3</v>
      </c>
      <c r="O338">
        <f>players[[#This Row],[Goals]]+players[[#This Row],[Assists]]</f>
        <v>11</v>
      </c>
      <c r="P338" s="1">
        <f>IF(players[[#This Row],[Matches]]&gt;0,players[[#This Row],[Total Goal Involvement]]/players[[#This Row],[Matches]],0)</f>
        <v>0.55000000000000004</v>
      </c>
      <c r="Q338" s="3">
        <f>players[[#This Row],[Total Goal Involvement per match]]/players[[#This Row],[Markey Value In Millions(£)]]</f>
        <v>2.5462962962962965E-2</v>
      </c>
      <c r="R338">
        <v>4</v>
      </c>
      <c r="S338">
        <v>0</v>
      </c>
      <c r="T338">
        <v>0</v>
      </c>
      <c r="U338">
        <v>7</v>
      </c>
      <c r="V338">
        <v>9</v>
      </c>
    </row>
    <row r="339" spans="1:22" x14ac:dyDescent="0.25">
      <c r="A339">
        <v>337</v>
      </c>
      <c r="B339" t="s">
        <v>476</v>
      </c>
      <c r="C339" t="s">
        <v>37</v>
      </c>
      <c r="D339" t="str" cm="1">
        <f t="array" ref="D33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39">
        <v>26</v>
      </c>
      <c r="F33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39" s="2">
        <v>21.6</v>
      </c>
      <c r="H33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39" t="s">
        <v>47</v>
      </c>
      <c r="J339" t="s">
        <v>349</v>
      </c>
      <c r="K339">
        <v>17</v>
      </c>
      <c r="L339">
        <v>1</v>
      </c>
      <c r="M339">
        <v>0</v>
      </c>
      <c r="N339">
        <v>5</v>
      </c>
      <c r="O339">
        <f>players[[#This Row],[Goals]]+players[[#This Row],[Assists]]</f>
        <v>6</v>
      </c>
      <c r="P339" s="1">
        <f>IF(players[[#This Row],[Matches]]&gt;0,players[[#This Row],[Total Goal Involvement]]/players[[#This Row],[Matches]],0)</f>
        <v>0.35294117647058826</v>
      </c>
      <c r="Q339" s="3">
        <f>players[[#This Row],[Total Goal Involvement per match]]/players[[#This Row],[Markey Value In Millions(£)]]</f>
        <v>1.6339869281045753E-2</v>
      </c>
      <c r="R339">
        <v>5</v>
      </c>
      <c r="S339">
        <v>0</v>
      </c>
      <c r="T339">
        <v>0</v>
      </c>
      <c r="U339">
        <v>1</v>
      </c>
      <c r="V339">
        <v>13</v>
      </c>
    </row>
    <row r="340" spans="1:22" x14ac:dyDescent="0.25">
      <c r="A340">
        <v>338</v>
      </c>
      <c r="B340" t="s">
        <v>477</v>
      </c>
      <c r="C340" t="s">
        <v>71</v>
      </c>
      <c r="D340" t="str" cm="1">
        <f t="array" ref="D34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40">
        <v>27</v>
      </c>
      <c r="F34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40" s="2">
        <v>21.6</v>
      </c>
      <c r="H34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0" t="s">
        <v>221</v>
      </c>
      <c r="J340" t="s">
        <v>41</v>
      </c>
      <c r="K340">
        <v>12</v>
      </c>
      <c r="L340">
        <v>0</v>
      </c>
      <c r="M340">
        <v>0</v>
      </c>
      <c r="N340">
        <v>2</v>
      </c>
      <c r="O340">
        <f>players[[#This Row],[Goals]]+players[[#This Row],[Assists]]</f>
        <v>2</v>
      </c>
      <c r="P340" s="1">
        <f>IF(players[[#This Row],[Matches]]&gt;0,players[[#This Row],[Total Goal Involvement]]/players[[#This Row],[Matches]],0)</f>
        <v>0.16666666666666666</v>
      </c>
      <c r="Q340" s="3">
        <f>players[[#This Row],[Total Goal Involvement per match]]/players[[#This Row],[Markey Value In Millions(£)]]</f>
        <v>7.7160493827160481E-3</v>
      </c>
      <c r="R340">
        <v>1</v>
      </c>
      <c r="S340">
        <v>0</v>
      </c>
      <c r="T340">
        <v>0</v>
      </c>
      <c r="U340">
        <v>1</v>
      </c>
      <c r="V340">
        <v>0</v>
      </c>
    </row>
    <row r="341" spans="1:22" x14ac:dyDescent="0.25">
      <c r="A341">
        <v>339</v>
      </c>
      <c r="B341" t="s">
        <v>478</v>
      </c>
      <c r="C341" t="s">
        <v>69</v>
      </c>
      <c r="D341" t="str" cm="1">
        <f t="array" ref="D34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41">
        <v>28</v>
      </c>
      <c r="F34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41" s="2">
        <v>21.6</v>
      </c>
      <c r="H34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1" t="s">
        <v>87</v>
      </c>
      <c r="J341" t="s">
        <v>119</v>
      </c>
      <c r="K341">
        <v>16</v>
      </c>
      <c r="L341">
        <v>1</v>
      </c>
      <c r="M341">
        <v>0</v>
      </c>
      <c r="N341">
        <v>1</v>
      </c>
      <c r="O341">
        <f>players[[#This Row],[Goals]]+players[[#This Row],[Assists]]</f>
        <v>2</v>
      </c>
      <c r="P341" s="1">
        <f>IF(players[[#This Row],[Matches]]&gt;0,players[[#This Row],[Total Goal Involvement]]/players[[#This Row],[Matches]],0)</f>
        <v>0.125</v>
      </c>
      <c r="Q341" s="3">
        <f>players[[#This Row],[Total Goal Involvement per match]]/players[[#This Row],[Markey Value In Millions(£)]]</f>
        <v>5.7870370370370367E-3</v>
      </c>
      <c r="R341">
        <v>3</v>
      </c>
      <c r="S341">
        <v>0</v>
      </c>
      <c r="T341">
        <v>0</v>
      </c>
      <c r="U341">
        <v>0</v>
      </c>
      <c r="V341">
        <v>0</v>
      </c>
    </row>
    <row r="342" spans="1:22" x14ac:dyDescent="0.25">
      <c r="A342">
        <v>340</v>
      </c>
      <c r="B342" t="s">
        <v>479</v>
      </c>
      <c r="C342" t="s">
        <v>71</v>
      </c>
      <c r="D342" t="str" cm="1">
        <f t="array" ref="D34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42">
        <v>20</v>
      </c>
      <c r="F342" t="str">
        <f>IF(players[[#This Row],[Age]]&gt;34,"Veterans",IF(players[[#This Row],[Age]]&gt;29,"Experienced",IF(players[[#This Row],[Age]]&gt;23,"Career peak",IF(players[[#This Row],[Age]]&gt;19,"Young","Teenagers"))))</f>
        <v>Young</v>
      </c>
      <c r="G342" s="2">
        <v>20.7</v>
      </c>
      <c r="H34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2" t="s">
        <v>140</v>
      </c>
      <c r="J342" t="s">
        <v>104</v>
      </c>
      <c r="K342">
        <v>14</v>
      </c>
      <c r="L342">
        <v>0</v>
      </c>
      <c r="M342">
        <v>0</v>
      </c>
      <c r="N342">
        <v>2</v>
      </c>
      <c r="O342">
        <f>players[[#This Row],[Goals]]+players[[#This Row],[Assists]]</f>
        <v>2</v>
      </c>
      <c r="P342" s="1">
        <f>IF(players[[#This Row],[Matches]]&gt;0,players[[#This Row],[Total Goal Involvement]]/players[[#This Row],[Matches]],0)</f>
        <v>0.14285714285714285</v>
      </c>
      <c r="Q342" s="3">
        <f>players[[#This Row],[Total Goal Involvement per match]]/players[[#This Row],[Markey Value In Millions(£)]]</f>
        <v>6.901311249137336E-3</v>
      </c>
      <c r="R342">
        <v>1</v>
      </c>
      <c r="S342">
        <v>0</v>
      </c>
      <c r="T342">
        <v>0</v>
      </c>
      <c r="U342">
        <v>2</v>
      </c>
      <c r="V342">
        <v>1</v>
      </c>
    </row>
    <row r="343" spans="1:22" x14ac:dyDescent="0.25">
      <c r="A343">
        <v>341</v>
      </c>
      <c r="B343" t="s">
        <v>480</v>
      </c>
      <c r="C343" t="s">
        <v>37</v>
      </c>
      <c r="D343" t="str" cm="1">
        <f t="array" ref="D34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43">
        <v>18</v>
      </c>
      <c r="F343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343" s="2">
        <v>20.7</v>
      </c>
      <c r="H34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3" t="s">
        <v>18</v>
      </c>
      <c r="J343" t="s">
        <v>254</v>
      </c>
      <c r="K343">
        <v>17</v>
      </c>
      <c r="L343">
        <v>6</v>
      </c>
      <c r="M343">
        <v>0</v>
      </c>
      <c r="N343">
        <v>3</v>
      </c>
      <c r="O343">
        <f>players[[#This Row],[Goals]]+players[[#This Row],[Assists]]</f>
        <v>9</v>
      </c>
      <c r="P343" s="1">
        <f>IF(players[[#This Row],[Matches]]&gt;0,players[[#This Row],[Total Goal Involvement]]/players[[#This Row],[Matches]],0)</f>
        <v>0.52941176470588236</v>
      </c>
      <c r="Q343" s="3">
        <f>players[[#This Row],[Total Goal Involvement per match]]/players[[#This Row],[Markey Value In Millions(£)]]</f>
        <v>2.557544757033248E-2</v>
      </c>
      <c r="R343">
        <v>2</v>
      </c>
      <c r="S343">
        <v>0</v>
      </c>
      <c r="T343">
        <v>0</v>
      </c>
      <c r="U343">
        <v>9</v>
      </c>
      <c r="V343">
        <v>7</v>
      </c>
    </row>
    <row r="344" spans="1:22" x14ac:dyDescent="0.25">
      <c r="A344">
        <v>342</v>
      </c>
      <c r="B344" t="s">
        <v>481</v>
      </c>
      <c r="C344" t="s">
        <v>37</v>
      </c>
      <c r="D344" t="str" cm="1">
        <f t="array" ref="D34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44">
        <v>22</v>
      </c>
      <c r="F344" t="str">
        <f>IF(players[[#This Row],[Age]]&gt;34,"Veterans",IF(players[[#This Row],[Age]]&gt;29,"Experienced",IF(players[[#This Row],[Age]]&gt;23,"Career peak",IF(players[[#This Row],[Age]]&gt;19,"Young","Teenagers"))))</f>
        <v>Young</v>
      </c>
      <c r="G344" s="2">
        <v>20.7</v>
      </c>
      <c r="H34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4" t="s">
        <v>59</v>
      </c>
      <c r="J344" t="s">
        <v>141</v>
      </c>
      <c r="K344">
        <v>11</v>
      </c>
      <c r="L344">
        <v>4</v>
      </c>
      <c r="M344">
        <v>0</v>
      </c>
      <c r="N344">
        <v>2</v>
      </c>
      <c r="O344">
        <f>players[[#This Row],[Goals]]+players[[#This Row],[Assists]]</f>
        <v>6</v>
      </c>
      <c r="P344" s="1">
        <f>IF(players[[#This Row],[Matches]]&gt;0,players[[#This Row],[Total Goal Involvement]]/players[[#This Row],[Matches]],0)</f>
        <v>0.54545454545454541</v>
      </c>
      <c r="Q344" s="3">
        <f>players[[#This Row],[Total Goal Involvement per match]]/players[[#This Row],[Markey Value In Millions(£)]]</f>
        <v>2.6350461133069828E-2</v>
      </c>
      <c r="R344">
        <v>3</v>
      </c>
      <c r="S344">
        <v>0</v>
      </c>
      <c r="T344">
        <v>0</v>
      </c>
      <c r="U344">
        <v>1</v>
      </c>
      <c r="V344">
        <v>9</v>
      </c>
    </row>
    <row r="345" spans="1:22" x14ac:dyDescent="0.25">
      <c r="A345">
        <v>343</v>
      </c>
      <c r="B345" t="s">
        <v>482</v>
      </c>
      <c r="C345" t="s">
        <v>43</v>
      </c>
      <c r="D345" t="str" cm="1">
        <f t="array" ref="D34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45">
        <v>26</v>
      </c>
      <c r="F34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45" s="2">
        <v>20.7</v>
      </c>
      <c r="H34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5" t="s">
        <v>197</v>
      </c>
      <c r="J345" t="s">
        <v>277</v>
      </c>
      <c r="K345">
        <v>16</v>
      </c>
      <c r="L345">
        <v>3</v>
      </c>
      <c r="M345">
        <v>0</v>
      </c>
      <c r="N345">
        <v>5</v>
      </c>
      <c r="O345">
        <f>players[[#This Row],[Goals]]+players[[#This Row],[Assists]]</f>
        <v>8</v>
      </c>
      <c r="P345" s="1">
        <f>IF(players[[#This Row],[Matches]]&gt;0,players[[#This Row],[Total Goal Involvement]]/players[[#This Row],[Matches]],0)</f>
        <v>0.5</v>
      </c>
      <c r="Q345" s="3">
        <f>players[[#This Row],[Total Goal Involvement per match]]/players[[#This Row],[Markey Value In Millions(£)]]</f>
        <v>2.4154589371980676E-2</v>
      </c>
      <c r="R345">
        <v>1</v>
      </c>
      <c r="S345">
        <v>0</v>
      </c>
      <c r="T345">
        <v>0</v>
      </c>
      <c r="U345">
        <v>5</v>
      </c>
      <c r="V345">
        <v>9</v>
      </c>
    </row>
    <row r="346" spans="1:22" x14ac:dyDescent="0.25">
      <c r="A346">
        <v>344</v>
      </c>
      <c r="B346" t="s">
        <v>483</v>
      </c>
      <c r="C346" t="s">
        <v>49</v>
      </c>
      <c r="D346" t="str" cm="1">
        <f t="array" ref="D34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46">
        <v>30</v>
      </c>
      <c r="F346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46" s="2">
        <v>20.7</v>
      </c>
      <c r="H34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6" t="s">
        <v>44</v>
      </c>
      <c r="J346" t="s">
        <v>277</v>
      </c>
      <c r="K346">
        <v>12</v>
      </c>
      <c r="L346">
        <v>1</v>
      </c>
      <c r="M346">
        <v>0</v>
      </c>
      <c r="N346">
        <v>0</v>
      </c>
      <c r="O346">
        <f>players[[#This Row],[Goals]]+players[[#This Row],[Assists]]</f>
        <v>1</v>
      </c>
      <c r="P346" s="1">
        <f>IF(players[[#This Row],[Matches]]&gt;0,players[[#This Row],[Total Goal Involvement]]/players[[#This Row],[Matches]],0)</f>
        <v>8.3333333333333329E-2</v>
      </c>
      <c r="Q346" s="3">
        <f>players[[#This Row],[Total Goal Involvement per match]]/players[[#This Row],[Markey Value In Millions(£)]]</f>
        <v>4.0257648953301124E-3</v>
      </c>
      <c r="R346">
        <v>3</v>
      </c>
      <c r="S346">
        <v>0</v>
      </c>
      <c r="T346">
        <v>0</v>
      </c>
      <c r="U346">
        <v>0</v>
      </c>
      <c r="V346">
        <v>1</v>
      </c>
    </row>
    <row r="347" spans="1:22" x14ac:dyDescent="0.25">
      <c r="A347">
        <v>345</v>
      </c>
      <c r="B347" t="s">
        <v>484</v>
      </c>
      <c r="C347" t="s">
        <v>75</v>
      </c>
      <c r="D347" t="str" cm="1">
        <f t="array" ref="D34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47">
        <v>30</v>
      </c>
      <c r="F347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47" s="2">
        <v>20.7</v>
      </c>
      <c r="H34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7" t="s">
        <v>197</v>
      </c>
      <c r="J347" t="s">
        <v>485</v>
      </c>
      <c r="K347">
        <v>13</v>
      </c>
      <c r="L347">
        <v>4</v>
      </c>
      <c r="M347">
        <v>0</v>
      </c>
      <c r="N347">
        <v>6</v>
      </c>
      <c r="O347">
        <f>players[[#This Row],[Goals]]+players[[#This Row],[Assists]]</f>
        <v>10</v>
      </c>
      <c r="P347" s="1">
        <f>IF(players[[#This Row],[Matches]]&gt;0,players[[#This Row],[Total Goal Involvement]]/players[[#This Row],[Matches]],0)</f>
        <v>0.76923076923076927</v>
      </c>
      <c r="Q347" s="3">
        <f>players[[#This Row],[Total Goal Involvement per match]]/players[[#This Row],[Markey Value In Millions(£)]]</f>
        <v>3.716090672612412E-2</v>
      </c>
      <c r="R347">
        <v>2</v>
      </c>
      <c r="S347">
        <v>0</v>
      </c>
      <c r="T347">
        <v>0</v>
      </c>
      <c r="U347">
        <v>0</v>
      </c>
      <c r="V347">
        <v>2</v>
      </c>
    </row>
    <row r="348" spans="1:22" x14ac:dyDescent="0.25">
      <c r="A348">
        <v>346</v>
      </c>
      <c r="B348" t="s">
        <v>486</v>
      </c>
      <c r="C348" t="s">
        <v>27</v>
      </c>
      <c r="D348" t="str" cm="1">
        <f t="array" ref="D34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48">
        <v>20</v>
      </c>
      <c r="F348" t="str">
        <f>IF(players[[#This Row],[Age]]&gt;34,"Veterans",IF(players[[#This Row],[Age]]&gt;29,"Experienced",IF(players[[#This Row],[Age]]&gt;23,"Career peak",IF(players[[#This Row],[Age]]&gt;19,"Young","Teenagers"))))</f>
        <v>Young</v>
      </c>
      <c r="G348" s="2">
        <v>19.8</v>
      </c>
      <c r="H34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8" t="s">
        <v>39</v>
      </c>
      <c r="J348" t="s">
        <v>107</v>
      </c>
      <c r="K348">
        <v>9</v>
      </c>
      <c r="L348">
        <v>1</v>
      </c>
      <c r="M348">
        <v>0</v>
      </c>
      <c r="N348">
        <v>1</v>
      </c>
      <c r="O348">
        <f>players[[#This Row],[Goals]]+players[[#This Row],[Assists]]</f>
        <v>2</v>
      </c>
      <c r="P348" s="1">
        <f>IF(players[[#This Row],[Matches]]&gt;0,players[[#This Row],[Total Goal Involvement]]/players[[#This Row],[Matches]],0)</f>
        <v>0.22222222222222221</v>
      </c>
      <c r="Q348" s="3">
        <f>players[[#This Row],[Total Goal Involvement per match]]/players[[#This Row],[Markey Value In Millions(£)]]</f>
        <v>1.1223344556677889E-2</v>
      </c>
      <c r="R348">
        <v>0</v>
      </c>
      <c r="S348">
        <v>0</v>
      </c>
      <c r="T348">
        <v>0</v>
      </c>
      <c r="U348">
        <v>5</v>
      </c>
      <c r="V348">
        <v>3</v>
      </c>
    </row>
    <row r="349" spans="1:22" x14ac:dyDescent="0.25">
      <c r="A349">
        <v>347</v>
      </c>
      <c r="B349" t="s">
        <v>487</v>
      </c>
      <c r="C349" t="s">
        <v>27</v>
      </c>
      <c r="D349" t="str" cm="1">
        <f t="array" ref="D34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49">
        <v>21</v>
      </c>
      <c r="F349" t="str">
        <f>IF(players[[#This Row],[Age]]&gt;34,"Veterans",IF(players[[#This Row],[Age]]&gt;29,"Experienced",IF(players[[#This Row],[Age]]&gt;23,"Career peak",IF(players[[#This Row],[Age]]&gt;19,"Young","Teenagers"))))</f>
        <v>Young</v>
      </c>
      <c r="G349" s="2">
        <v>19.8</v>
      </c>
      <c r="H34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49" t="s">
        <v>24</v>
      </c>
      <c r="J349" t="s">
        <v>454</v>
      </c>
      <c r="K349">
        <v>13</v>
      </c>
      <c r="L349">
        <v>0</v>
      </c>
      <c r="M349">
        <v>0</v>
      </c>
      <c r="N349">
        <v>1</v>
      </c>
      <c r="O349">
        <f>players[[#This Row],[Goals]]+players[[#This Row],[Assists]]</f>
        <v>1</v>
      </c>
      <c r="P349" s="1">
        <f>IF(players[[#This Row],[Matches]]&gt;0,players[[#This Row],[Total Goal Involvement]]/players[[#This Row],[Matches]],0)</f>
        <v>7.6923076923076927E-2</v>
      </c>
      <c r="Q349" s="3">
        <f>players[[#This Row],[Total Goal Involvement per match]]/players[[#This Row],[Markey Value In Millions(£)]]</f>
        <v>3.885003885003885E-3</v>
      </c>
      <c r="R349">
        <v>2</v>
      </c>
      <c r="S349">
        <v>0</v>
      </c>
      <c r="T349">
        <v>0</v>
      </c>
      <c r="U349">
        <v>0</v>
      </c>
      <c r="V349">
        <v>3</v>
      </c>
    </row>
    <row r="350" spans="1:22" x14ac:dyDescent="0.25">
      <c r="A350">
        <v>348</v>
      </c>
      <c r="B350" t="s">
        <v>488</v>
      </c>
      <c r="C350" t="s">
        <v>69</v>
      </c>
      <c r="D350" t="str" cm="1">
        <f t="array" ref="D35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50">
        <v>21</v>
      </c>
      <c r="F350" t="str">
        <f>IF(players[[#This Row],[Age]]&gt;34,"Veterans",IF(players[[#This Row],[Age]]&gt;29,"Experienced",IF(players[[#This Row],[Age]]&gt;23,"Career peak",IF(players[[#This Row],[Age]]&gt;19,"Young","Teenagers"))))</f>
        <v>Young</v>
      </c>
      <c r="G350" s="2">
        <v>19.8</v>
      </c>
      <c r="H35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0" t="s">
        <v>24</v>
      </c>
      <c r="J350" t="s">
        <v>489</v>
      </c>
      <c r="K350">
        <v>15</v>
      </c>
      <c r="L350">
        <v>0</v>
      </c>
      <c r="M350">
        <v>1</v>
      </c>
      <c r="N350">
        <v>0</v>
      </c>
      <c r="O350">
        <f>players[[#This Row],[Goals]]+players[[#This Row],[Assists]]</f>
        <v>0</v>
      </c>
      <c r="P350" s="1">
        <f>IF(players[[#This Row],[Matches]]&gt;0,players[[#This Row],[Total Goal Involvement]]/players[[#This Row],[Matches]],0)</f>
        <v>0</v>
      </c>
      <c r="Q350" s="3">
        <f>players[[#This Row],[Total Goal Involvement per match]]/players[[#This Row],[Markey Value In Millions(£)]]</f>
        <v>0</v>
      </c>
      <c r="R350">
        <v>5</v>
      </c>
      <c r="S350">
        <v>0</v>
      </c>
      <c r="T350">
        <v>0</v>
      </c>
      <c r="U350">
        <v>1</v>
      </c>
      <c r="V350">
        <v>1</v>
      </c>
    </row>
    <row r="351" spans="1:22" x14ac:dyDescent="0.25">
      <c r="A351">
        <v>349</v>
      </c>
      <c r="B351" t="s">
        <v>490</v>
      </c>
      <c r="C351" t="s">
        <v>30</v>
      </c>
      <c r="D351" t="str" cm="1">
        <f t="array" ref="D35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51">
        <v>24</v>
      </c>
      <c r="F35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51" s="2">
        <v>19.8</v>
      </c>
      <c r="H35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1" t="s">
        <v>39</v>
      </c>
      <c r="J351" t="s">
        <v>293</v>
      </c>
      <c r="K351">
        <v>15</v>
      </c>
      <c r="L351">
        <v>3</v>
      </c>
      <c r="M351">
        <v>0</v>
      </c>
      <c r="N351">
        <v>1</v>
      </c>
      <c r="O351">
        <f>players[[#This Row],[Goals]]+players[[#This Row],[Assists]]</f>
        <v>4</v>
      </c>
      <c r="P351" s="1">
        <f>IF(players[[#This Row],[Matches]]&gt;0,players[[#This Row],[Total Goal Involvement]]/players[[#This Row],[Matches]],0)</f>
        <v>0.26666666666666666</v>
      </c>
      <c r="Q351" s="3">
        <f>players[[#This Row],[Total Goal Involvement per match]]/players[[#This Row],[Markey Value In Millions(£)]]</f>
        <v>1.3468013468013467E-2</v>
      </c>
      <c r="R351">
        <v>0</v>
      </c>
      <c r="S351">
        <v>0</v>
      </c>
      <c r="T351">
        <v>0</v>
      </c>
      <c r="U351">
        <v>13</v>
      </c>
      <c r="V351">
        <v>1</v>
      </c>
    </row>
    <row r="352" spans="1:22" x14ac:dyDescent="0.25">
      <c r="A352">
        <v>350</v>
      </c>
      <c r="B352" t="s">
        <v>491</v>
      </c>
      <c r="C352" t="s">
        <v>43</v>
      </c>
      <c r="D352" t="str" cm="1">
        <f t="array" ref="D35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52">
        <v>22</v>
      </c>
      <c r="F352" t="str">
        <f>IF(players[[#This Row],[Age]]&gt;34,"Veterans",IF(players[[#This Row],[Age]]&gt;29,"Experienced",IF(players[[#This Row],[Age]]&gt;23,"Career peak",IF(players[[#This Row],[Age]]&gt;19,"Young","Teenagers"))))</f>
        <v>Young</v>
      </c>
      <c r="G352" s="2">
        <v>19.8</v>
      </c>
      <c r="H35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2" t="s">
        <v>18</v>
      </c>
      <c r="J352" t="s">
        <v>358</v>
      </c>
      <c r="K352">
        <v>17</v>
      </c>
      <c r="L352">
        <v>3</v>
      </c>
      <c r="M352">
        <v>0</v>
      </c>
      <c r="N352">
        <v>3</v>
      </c>
      <c r="O352">
        <f>players[[#This Row],[Goals]]+players[[#This Row],[Assists]]</f>
        <v>6</v>
      </c>
      <c r="P352" s="1">
        <f>IF(players[[#This Row],[Matches]]&gt;0,players[[#This Row],[Total Goal Involvement]]/players[[#This Row],[Matches]],0)</f>
        <v>0.35294117647058826</v>
      </c>
      <c r="Q352" s="3">
        <f>players[[#This Row],[Total Goal Involvement per match]]/players[[#This Row],[Markey Value In Millions(£)]]</f>
        <v>1.7825311942959002E-2</v>
      </c>
      <c r="R352">
        <v>2</v>
      </c>
      <c r="S352">
        <v>0</v>
      </c>
      <c r="T352">
        <v>0</v>
      </c>
      <c r="U352">
        <v>1</v>
      </c>
      <c r="V352">
        <v>5</v>
      </c>
    </row>
    <row r="353" spans="1:22" x14ac:dyDescent="0.25">
      <c r="A353">
        <v>351</v>
      </c>
      <c r="B353" t="s">
        <v>492</v>
      </c>
      <c r="C353" t="s">
        <v>27</v>
      </c>
      <c r="D353" t="str" cm="1">
        <f t="array" ref="D35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53">
        <v>22</v>
      </c>
      <c r="F353" t="str">
        <f>IF(players[[#This Row],[Age]]&gt;34,"Veterans",IF(players[[#This Row],[Age]]&gt;29,"Experienced",IF(players[[#This Row],[Age]]&gt;23,"Career peak",IF(players[[#This Row],[Age]]&gt;19,"Young","Teenagers"))))</f>
        <v>Young</v>
      </c>
      <c r="G353" s="2">
        <v>19.8</v>
      </c>
      <c r="H35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3" t="s">
        <v>44</v>
      </c>
      <c r="J353" t="s">
        <v>493</v>
      </c>
      <c r="K353">
        <v>19</v>
      </c>
      <c r="L353">
        <v>7</v>
      </c>
      <c r="M353">
        <v>0</v>
      </c>
      <c r="N353">
        <v>8</v>
      </c>
      <c r="O353">
        <f>players[[#This Row],[Goals]]+players[[#This Row],[Assists]]</f>
        <v>15</v>
      </c>
      <c r="P353" s="1">
        <f>IF(players[[#This Row],[Matches]]&gt;0,players[[#This Row],[Total Goal Involvement]]/players[[#This Row],[Matches]],0)</f>
        <v>0.78947368421052633</v>
      </c>
      <c r="Q353" s="3">
        <f>players[[#This Row],[Total Goal Involvement per match]]/players[[#This Row],[Markey Value In Millions(£)]]</f>
        <v>3.9872408293460927E-2</v>
      </c>
      <c r="R353">
        <v>2</v>
      </c>
      <c r="S353">
        <v>0</v>
      </c>
      <c r="T353">
        <v>0</v>
      </c>
      <c r="U353">
        <v>2</v>
      </c>
      <c r="V353">
        <v>11</v>
      </c>
    </row>
    <row r="354" spans="1:22" x14ac:dyDescent="0.25">
      <c r="A354">
        <v>352</v>
      </c>
      <c r="B354" t="s">
        <v>494</v>
      </c>
      <c r="C354" t="s">
        <v>69</v>
      </c>
      <c r="D354" t="str" cm="1">
        <f t="array" ref="D35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54">
        <v>24</v>
      </c>
      <c r="F35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54" s="2">
        <v>19.8</v>
      </c>
      <c r="H35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4" t="s">
        <v>135</v>
      </c>
      <c r="J354" t="s">
        <v>252</v>
      </c>
      <c r="K354">
        <v>12</v>
      </c>
      <c r="L354">
        <v>1</v>
      </c>
      <c r="M354">
        <v>0</v>
      </c>
      <c r="N354">
        <v>1</v>
      </c>
      <c r="O354">
        <f>players[[#This Row],[Goals]]+players[[#This Row],[Assists]]</f>
        <v>2</v>
      </c>
      <c r="P354" s="1">
        <f>IF(players[[#This Row],[Matches]]&gt;0,players[[#This Row],[Total Goal Involvement]]/players[[#This Row],[Matches]],0)</f>
        <v>0.16666666666666666</v>
      </c>
      <c r="Q354" s="3">
        <f>players[[#This Row],[Total Goal Involvement per match]]/players[[#This Row],[Markey Value In Millions(£)]]</f>
        <v>8.4175084175084174E-3</v>
      </c>
      <c r="R354">
        <v>2</v>
      </c>
      <c r="S354">
        <v>0</v>
      </c>
      <c r="T354">
        <v>0</v>
      </c>
      <c r="U354">
        <v>0</v>
      </c>
      <c r="V354">
        <v>3</v>
      </c>
    </row>
    <row r="355" spans="1:22" x14ac:dyDescent="0.25">
      <c r="A355">
        <v>353</v>
      </c>
      <c r="B355" t="s">
        <v>495</v>
      </c>
      <c r="C355" t="s">
        <v>30</v>
      </c>
      <c r="D355" t="str" cm="1">
        <f t="array" ref="D35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55">
        <v>21</v>
      </c>
      <c r="F355" t="str">
        <f>IF(players[[#This Row],[Age]]&gt;34,"Veterans",IF(players[[#This Row],[Age]]&gt;29,"Experienced",IF(players[[#This Row],[Age]]&gt;23,"Career peak",IF(players[[#This Row],[Age]]&gt;19,"Young","Teenagers"))))</f>
        <v>Young</v>
      </c>
      <c r="G355" s="2">
        <v>19.8</v>
      </c>
      <c r="H35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5" t="s">
        <v>47</v>
      </c>
      <c r="J355" t="s">
        <v>204</v>
      </c>
      <c r="K355">
        <v>10</v>
      </c>
      <c r="L355">
        <v>1</v>
      </c>
      <c r="M355">
        <v>0</v>
      </c>
      <c r="N355">
        <v>0</v>
      </c>
      <c r="O355">
        <f>players[[#This Row],[Goals]]+players[[#This Row],[Assists]]</f>
        <v>1</v>
      </c>
      <c r="P355" s="1">
        <f>IF(players[[#This Row],[Matches]]&gt;0,players[[#This Row],[Total Goal Involvement]]/players[[#This Row],[Matches]],0)</f>
        <v>0.1</v>
      </c>
      <c r="Q355" s="3">
        <f>players[[#This Row],[Total Goal Involvement per match]]/players[[#This Row],[Markey Value In Millions(£)]]</f>
        <v>5.0505050505050509E-3</v>
      </c>
      <c r="R355">
        <v>0</v>
      </c>
      <c r="S355">
        <v>0</v>
      </c>
      <c r="T355">
        <v>0</v>
      </c>
      <c r="U355">
        <v>2</v>
      </c>
      <c r="V355">
        <v>7</v>
      </c>
    </row>
    <row r="356" spans="1:22" x14ac:dyDescent="0.25">
      <c r="A356">
        <v>354</v>
      </c>
      <c r="B356" t="s">
        <v>496</v>
      </c>
      <c r="C356" t="s">
        <v>71</v>
      </c>
      <c r="D356" t="str" cm="1">
        <f t="array" ref="D35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56">
        <v>21</v>
      </c>
      <c r="F356" t="str">
        <f>IF(players[[#This Row],[Age]]&gt;34,"Veterans",IF(players[[#This Row],[Age]]&gt;29,"Experienced",IF(players[[#This Row],[Age]]&gt;23,"Career peak",IF(players[[#This Row],[Age]]&gt;19,"Young","Teenagers"))))</f>
        <v>Young</v>
      </c>
      <c r="G356" s="2">
        <v>19.8</v>
      </c>
      <c r="H35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6" t="s">
        <v>497</v>
      </c>
      <c r="J356" t="s">
        <v>188</v>
      </c>
      <c r="K356">
        <v>6</v>
      </c>
      <c r="L356">
        <v>0</v>
      </c>
      <c r="M356">
        <v>0</v>
      </c>
      <c r="N356">
        <v>0</v>
      </c>
      <c r="O356">
        <f>players[[#This Row],[Goals]]+players[[#This Row],[Assists]]</f>
        <v>0</v>
      </c>
      <c r="P356" s="1">
        <f>IF(players[[#This Row],[Matches]]&gt;0,players[[#This Row],[Total Goal Involvement]]/players[[#This Row],[Matches]],0)</f>
        <v>0</v>
      </c>
      <c r="Q356" s="3">
        <f>players[[#This Row],[Total Goal Involvement per match]]/players[[#This Row],[Markey Value In Millions(£)]]</f>
        <v>0</v>
      </c>
      <c r="R356">
        <v>1</v>
      </c>
      <c r="S356">
        <v>0</v>
      </c>
      <c r="T356">
        <v>0</v>
      </c>
      <c r="U356">
        <v>3</v>
      </c>
      <c r="V356">
        <v>1</v>
      </c>
    </row>
    <row r="357" spans="1:22" x14ac:dyDescent="0.25">
      <c r="A357">
        <v>355</v>
      </c>
      <c r="B357" t="s">
        <v>498</v>
      </c>
      <c r="C357" t="s">
        <v>17</v>
      </c>
      <c r="D357" t="str" cm="1">
        <f t="array" ref="D35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57">
        <v>24</v>
      </c>
      <c r="F35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57" s="2">
        <v>19.8</v>
      </c>
      <c r="H35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7" t="s">
        <v>151</v>
      </c>
      <c r="J357" t="s">
        <v>396</v>
      </c>
      <c r="K357">
        <v>1</v>
      </c>
      <c r="L357">
        <v>0</v>
      </c>
      <c r="M357">
        <v>0</v>
      </c>
      <c r="N357">
        <v>0</v>
      </c>
      <c r="O357">
        <f>players[[#This Row],[Goals]]+players[[#This Row],[Assists]]</f>
        <v>0</v>
      </c>
      <c r="P357" s="1">
        <f>IF(players[[#This Row],[Matches]]&gt;0,players[[#This Row],[Total Goal Involvement]]/players[[#This Row],[Matches]],0)</f>
        <v>0</v>
      </c>
      <c r="Q357" s="3">
        <f>players[[#This Row],[Total Goal Involvement per match]]/players[[#This Row],[Markey Value In Millions(£)]]</f>
        <v>0</v>
      </c>
      <c r="R357">
        <v>0</v>
      </c>
      <c r="S357">
        <v>0</v>
      </c>
      <c r="T357">
        <v>0</v>
      </c>
      <c r="U357">
        <v>1</v>
      </c>
      <c r="V357">
        <v>0</v>
      </c>
    </row>
    <row r="358" spans="1:22" x14ac:dyDescent="0.25">
      <c r="A358">
        <v>356</v>
      </c>
      <c r="B358" t="s">
        <v>499</v>
      </c>
      <c r="C358" t="s">
        <v>17</v>
      </c>
      <c r="D358" t="str" cm="1">
        <f t="array" ref="D35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58">
        <v>23</v>
      </c>
      <c r="F358" t="str">
        <f>IF(players[[#This Row],[Age]]&gt;34,"Veterans",IF(players[[#This Row],[Age]]&gt;29,"Experienced",IF(players[[#This Row],[Age]]&gt;23,"Career peak",IF(players[[#This Row],[Age]]&gt;19,"Young","Teenagers"))))</f>
        <v>Young</v>
      </c>
      <c r="G358" s="2">
        <v>19.8</v>
      </c>
      <c r="H35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8" t="s">
        <v>500</v>
      </c>
      <c r="J358" t="s">
        <v>124</v>
      </c>
      <c r="K358">
        <v>11</v>
      </c>
      <c r="L358">
        <v>5</v>
      </c>
      <c r="M358">
        <v>0</v>
      </c>
      <c r="N358">
        <v>1</v>
      </c>
      <c r="O358">
        <f>players[[#This Row],[Goals]]+players[[#This Row],[Assists]]</f>
        <v>6</v>
      </c>
      <c r="P358" s="1">
        <f>IF(players[[#This Row],[Matches]]&gt;0,players[[#This Row],[Total Goal Involvement]]/players[[#This Row],[Matches]],0)</f>
        <v>0.54545454545454541</v>
      </c>
      <c r="Q358" s="3">
        <f>players[[#This Row],[Total Goal Involvement per match]]/players[[#This Row],[Markey Value In Millions(£)]]</f>
        <v>2.7548209366391182E-2</v>
      </c>
      <c r="R358">
        <v>0</v>
      </c>
      <c r="S358">
        <v>0</v>
      </c>
      <c r="T358">
        <v>0</v>
      </c>
      <c r="U358">
        <v>6</v>
      </c>
      <c r="V358">
        <v>3</v>
      </c>
    </row>
    <row r="359" spans="1:22" x14ac:dyDescent="0.25">
      <c r="A359">
        <v>357</v>
      </c>
      <c r="B359" t="s">
        <v>501</v>
      </c>
      <c r="C359" t="s">
        <v>43</v>
      </c>
      <c r="D359" t="str" cm="1">
        <f t="array" ref="D35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59">
        <v>25</v>
      </c>
      <c r="F35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59" s="2">
        <v>19.8</v>
      </c>
      <c r="H35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59" t="s">
        <v>62</v>
      </c>
      <c r="J359" t="s">
        <v>25</v>
      </c>
      <c r="K359">
        <v>14</v>
      </c>
      <c r="L359">
        <v>1</v>
      </c>
      <c r="M359">
        <v>0</v>
      </c>
      <c r="N359">
        <v>1</v>
      </c>
      <c r="O359">
        <f>players[[#This Row],[Goals]]+players[[#This Row],[Assists]]</f>
        <v>2</v>
      </c>
      <c r="P359" s="1">
        <f>IF(players[[#This Row],[Matches]]&gt;0,players[[#This Row],[Total Goal Involvement]]/players[[#This Row],[Matches]],0)</f>
        <v>0.14285714285714285</v>
      </c>
      <c r="Q359" s="3">
        <f>players[[#This Row],[Total Goal Involvement per match]]/players[[#This Row],[Markey Value In Millions(£)]]</f>
        <v>7.2150072150072141E-3</v>
      </c>
      <c r="R359">
        <v>0</v>
      </c>
      <c r="S359">
        <v>0</v>
      </c>
      <c r="T359">
        <v>0</v>
      </c>
      <c r="U359">
        <v>6</v>
      </c>
      <c r="V359">
        <v>4</v>
      </c>
    </row>
    <row r="360" spans="1:22" x14ac:dyDescent="0.25">
      <c r="A360">
        <v>358</v>
      </c>
      <c r="B360" t="s">
        <v>502</v>
      </c>
      <c r="C360" t="s">
        <v>49</v>
      </c>
      <c r="D360" t="str" cm="1">
        <f t="array" ref="D36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60">
        <v>27</v>
      </c>
      <c r="F36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60" s="2">
        <v>19.8</v>
      </c>
      <c r="H36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0" t="s">
        <v>62</v>
      </c>
      <c r="J360" t="s">
        <v>447</v>
      </c>
      <c r="K360">
        <v>15</v>
      </c>
      <c r="L360">
        <v>0</v>
      </c>
      <c r="M360">
        <v>0</v>
      </c>
      <c r="N360">
        <v>2</v>
      </c>
      <c r="O360">
        <f>players[[#This Row],[Goals]]+players[[#This Row],[Assists]]</f>
        <v>2</v>
      </c>
      <c r="P360" s="1">
        <f>IF(players[[#This Row],[Matches]]&gt;0,players[[#This Row],[Total Goal Involvement]]/players[[#This Row],[Matches]],0)</f>
        <v>0.13333333333333333</v>
      </c>
      <c r="Q360" s="3">
        <f>players[[#This Row],[Total Goal Involvement per match]]/players[[#This Row],[Markey Value In Millions(£)]]</f>
        <v>6.7340067340067337E-3</v>
      </c>
      <c r="R360">
        <v>2</v>
      </c>
      <c r="S360">
        <v>1</v>
      </c>
      <c r="T360">
        <v>0</v>
      </c>
      <c r="U360">
        <v>4</v>
      </c>
      <c r="V360">
        <v>1</v>
      </c>
    </row>
    <row r="361" spans="1:22" x14ac:dyDescent="0.25">
      <c r="A361">
        <v>359</v>
      </c>
      <c r="B361" t="s">
        <v>503</v>
      </c>
      <c r="C361" t="s">
        <v>43</v>
      </c>
      <c r="D361" t="str" cm="1">
        <f t="array" ref="D36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61">
        <v>22</v>
      </c>
      <c r="F361" t="str">
        <f>IF(players[[#This Row],[Age]]&gt;34,"Veterans",IF(players[[#This Row],[Age]]&gt;29,"Experienced",IF(players[[#This Row],[Age]]&gt;23,"Career peak",IF(players[[#This Row],[Age]]&gt;19,"Young","Teenagers"))))</f>
        <v>Young</v>
      </c>
      <c r="G361" s="2">
        <v>19.8</v>
      </c>
      <c r="H36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1" t="s">
        <v>24</v>
      </c>
      <c r="J361" t="s">
        <v>326</v>
      </c>
      <c r="K361">
        <v>10</v>
      </c>
      <c r="L361">
        <v>0</v>
      </c>
      <c r="M361">
        <v>0</v>
      </c>
      <c r="N361">
        <v>0</v>
      </c>
      <c r="O361">
        <f>players[[#This Row],[Goals]]+players[[#This Row],[Assists]]</f>
        <v>0</v>
      </c>
      <c r="P361" s="1">
        <f>IF(players[[#This Row],[Matches]]&gt;0,players[[#This Row],[Total Goal Involvement]]/players[[#This Row],[Matches]],0)</f>
        <v>0</v>
      </c>
      <c r="Q361" s="3">
        <f>players[[#This Row],[Total Goal Involvement per match]]/players[[#This Row],[Markey Value In Millions(£)]]</f>
        <v>0</v>
      </c>
      <c r="R361">
        <v>0</v>
      </c>
      <c r="S361">
        <v>0</v>
      </c>
      <c r="T361">
        <v>0</v>
      </c>
      <c r="U361">
        <v>3</v>
      </c>
      <c r="V361">
        <v>6</v>
      </c>
    </row>
    <row r="362" spans="1:22" x14ac:dyDescent="0.25">
      <c r="A362">
        <v>360</v>
      </c>
      <c r="B362" t="s">
        <v>504</v>
      </c>
      <c r="C362" t="s">
        <v>106</v>
      </c>
      <c r="D362" t="str" cm="1">
        <f t="array" ref="D36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62">
        <v>23</v>
      </c>
      <c r="F362" t="str">
        <f>IF(players[[#This Row],[Age]]&gt;34,"Veterans",IF(players[[#This Row],[Age]]&gt;29,"Experienced",IF(players[[#This Row],[Age]]&gt;23,"Career peak",IF(players[[#This Row],[Age]]&gt;19,"Young","Teenagers"))))</f>
        <v>Young</v>
      </c>
      <c r="G362" s="2">
        <v>19.8</v>
      </c>
      <c r="H36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2" t="s">
        <v>24</v>
      </c>
      <c r="J362" t="s">
        <v>489</v>
      </c>
      <c r="K362">
        <v>7</v>
      </c>
      <c r="L362">
        <v>1</v>
      </c>
      <c r="M362">
        <v>0</v>
      </c>
      <c r="N362">
        <v>0</v>
      </c>
      <c r="O362">
        <f>players[[#This Row],[Goals]]+players[[#This Row],[Assists]]</f>
        <v>1</v>
      </c>
      <c r="P362" s="1">
        <f>IF(players[[#This Row],[Matches]]&gt;0,players[[#This Row],[Total Goal Involvement]]/players[[#This Row],[Matches]],0)</f>
        <v>0.14285714285714285</v>
      </c>
      <c r="Q362" s="3">
        <f>players[[#This Row],[Total Goal Involvement per match]]/players[[#This Row],[Markey Value In Millions(£)]]</f>
        <v>7.2150072150072141E-3</v>
      </c>
      <c r="R362">
        <v>2</v>
      </c>
      <c r="S362">
        <v>0</v>
      </c>
      <c r="T362">
        <v>0</v>
      </c>
      <c r="U362">
        <v>2</v>
      </c>
      <c r="V362">
        <v>1</v>
      </c>
    </row>
    <row r="363" spans="1:22" x14ac:dyDescent="0.25">
      <c r="A363">
        <v>361</v>
      </c>
      <c r="B363" t="s">
        <v>505</v>
      </c>
      <c r="C363" t="s">
        <v>37</v>
      </c>
      <c r="D363" t="str" cm="1">
        <f t="array" ref="D36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63">
        <v>22</v>
      </c>
      <c r="F363" t="str">
        <f>IF(players[[#This Row],[Age]]&gt;34,"Veterans",IF(players[[#This Row],[Age]]&gt;29,"Experienced",IF(players[[#This Row],[Age]]&gt;23,"Career peak",IF(players[[#This Row],[Age]]&gt;19,"Young","Teenagers"))))</f>
        <v>Young</v>
      </c>
      <c r="G363" s="2">
        <v>19.8</v>
      </c>
      <c r="H36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3" t="s">
        <v>151</v>
      </c>
      <c r="J363" t="s">
        <v>485</v>
      </c>
      <c r="K363">
        <v>10</v>
      </c>
      <c r="L363">
        <v>3</v>
      </c>
      <c r="M363">
        <v>0</v>
      </c>
      <c r="N363">
        <v>1</v>
      </c>
      <c r="O363">
        <f>players[[#This Row],[Goals]]+players[[#This Row],[Assists]]</f>
        <v>4</v>
      </c>
      <c r="P363" s="1">
        <f>IF(players[[#This Row],[Matches]]&gt;0,players[[#This Row],[Total Goal Involvement]]/players[[#This Row],[Matches]],0)</f>
        <v>0.4</v>
      </c>
      <c r="Q363" s="3">
        <f>players[[#This Row],[Total Goal Involvement per match]]/players[[#This Row],[Markey Value In Millions(£)]]</f>
        <v>2.0202020202020204E-2</v>
      </c>
      <c r="R363">
        <v>2</v>
      </c>
      <c r="S363">
        <v>0</v>
      </c>
      <c r="T363">
        <v>0</v>
      </c>
      <c r="U363">
        <v>2</v>
      </c>
      <c r="V363">
        <v>7</v>
      </c>
    </row>
    <row r="364" spans="1:22" x14ac:dyDescent="0.25">
      <c r="A364">
        <v>362</v>
      </c>
      <c r="B364" t="s">
        <v>506</v>
      </c>
      <c r="C364" t="s">
        <v>30</v>
      </c>
      <c r="D364" t="str" cm="1">
        <f t="array" ref="D36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64">
        <v>24</v>
      </c>
      <c r="F36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64" s="2">
        <v>19.8</v>
      </c>
      <c r="H36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4" t="s">
        <v>39</v>
      </c>
      <c r="J364" t="s">
        <v>452</v>
      </c>
      <c r="K364">
        <v>15</v>
      </c>
      <c r="L364">
        <v>3</v>
      </c>
      <c r="M364">
        <v>0</v>
      </c>
      <c r="N364">
        <v>5</v>
      </c>
      <c r="O364">
        <f>players[[#This Row],[Goals]]+players[[#This Row],[Assists]]</f>
        <v>8</v>
      </c>
      <c r="P364" s="1">
        <f>IF(players[[#This Row],[Matches]]&gt;0,players[[#This Row],[Total Goal Involvement]]/players[[#This Row],[Matches]],0)</f>
        <v>0.53333333333333333</v>
      </c>
      <c r="Q364" s="3">
        <f>players[[#This Row],[Total Goal Involvement per match]]/players[[#This Row],[Markey Value In Millions(£)]]</f>
        <v>2.6936026936026935E-2</v>
      </c>
      <c r="R364">
        <v>1</v>
      </c>
      <c r="S364">
        <v>0</v>
      </c>
      <c r="T364">
        <v>0</v>
      </c>
      <c r="U364">
        <v>3</v>
      </c>
      <c r="V364">
        <v>7</v>
      </c>
    </row>
    <row r="365" spans="1:22" x14ac:dyDescent="0.25">
      <c r="A365">
        <v>363</v>
      </c>
      <c r="B365" t="s">
        <v>507</v>
      </c>
      <c r="C365" t="s">
        <v>49</v>
      </c>
      <c r="D365" t="str" cm="1">
        <f t="array" ref="D36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65">
        <v>23</v>
      </c>
      <c r="F365" t="str">
        <f>IF(players[[#This Row],[Age]]&gt;34,"Veterans",IF(players[[#This Row],[Age]]&gt;29,"Experienced",IF(players[[#This Row],[Age]]&gt;23,"Career peak",IF(players[[#This Row],[Age]]&gt;19,"Young","Teenagers"))))</f>
        <v>Young</v>
      </c>
      <c r="G365" s="2">
        <v>19.8</v>
      </c>
      <c r="H36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5" t="s">
        <v>34</v>
      </c>
      <c r="J365" t="s">
        <v>396</v>
      </c>
      <c r="K365">
        <v>8</v>
      </c>
      <c r="L365">
        <v>1</v>
      </c>
      <c r="M365">
        <v>0</v>
      </c>
      <c r="N365">
        <v>0</v>
      </c>
      <c r="O365">
        <f>players[[#This Row],[Goals]]+players[[#This Row],[Assists]]</f>
        <v>1</v>
      </c>
      <c r="P365" s="1">
        <f>IF(players[[#This Row],[Matches]]&gt;0,players[[#This Row],[Total Goal Involvement]]/players[[#This Row],[Matches]],0)</f>
        <v>0.125</v>
      </c>
      <c r="Q365" s="3">
        <f>players[[#This Row],[Total Goal Involvement per match]]/players[[#This Row],[Markey Value In Millions(£)]]</f>
        <v>6.313131313131313E-3</v>
      </c>
      <c r="R365">
        <v>1</v>
      </c>
      <c r="S365">
        <v>0</v>
      </c>
      <c r="T365">
        <v>0</v>
      </c>
      <c r="U365">
        <v>2</v>
      </c>
      <c r="V365">
        <v>4</v>
      </c>
    </row>
    <row r="366" spans="1:22" x14ac:dyDescent="0.25">
      <c r="A366">
        <v>364</v>
      </c>
      <c r="B366" t="s">
        <v>508</v>
      </c>
      <c r="C366" t="s">
        <v>77</v>
      </c>
      <c r="D366" t="str" cm="1">
        <f t="array" ref="D36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66">
        <v>26</v>
      </c>
      <c r="F36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66" s="2">
        <v>19.8</v>
      </c>
      <c r="H36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6" t="s">
        <v>207</v>
      </c>
      <c r="J366" t="s">
        <v>366</v>
      </c>
      <c r="K366">
        <v>6</v>
      </c>
      <c r="L366">
        <v>2</v>
      </c>
      <c r="M366">
        <v>0</v>
      </c>
      <c r="N366">
        <v>1</v>
      </c>
      <c r="O366">
        <f>players[[#This Row],[Goals]]+players[[#This Row],[Assists]]</f>
        <v>3</v>
      </c>
      <c r="P366" s="1">
        <f>IF(players[[#This Row],[Matches]]&gt;0,players[[#This Row],[Total Goal Involvement]]/players[[#This Row],[Matches]],0)</f>
        <v>0.5</v>
      </c>
      <c r="Q366" s="3">
        <f>players[[#This Row],[Total Goal Involvement per match]]/players[[#This Row],[Markey Value In Millions(£)]]</f>
        <v>2.5252525252525252E-2</v>
      </c>
      <c r="R366">
        <v>1</v>
      </c>
      <c r="S366">
        <v>0</v>
      </c>
      <c r="T366">
        <v>0</v>
      </c>
      <c r="U366">
        <v>1</v>
      </c>
      <c r="V366">
        <v>0</v>
      </c>
    </row>
    <row r="367" spans="1:22" x14ac:dyDescent="0.25">
      <c r="A367">
        <v>365</v>
      </c>
      <c r="B367" t="s">
        <v>509</v>
      </c>
      <c r="C367" t="s">
        <v>27</v>
      </c>
      <c r="D367" t="str" cm="1">
        <f t="array" ref="D36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67">
        <v>24</v>
      </c>
      <c r="F36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67" s="2">
        <v>19.8</v>
      </c>
      <c r="H36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7" t="s">
        <v>44</v>
      </c>
      <c r="J367" t="s">
        <v>25</v>
      </c>
      <c r="K367">
        <v>9</v>
      </c>
      <c r="L367">
        <v>0</v>
      </c>
      <c r="M367">
        <v>0</v>
      </c>
      <c r="N367">
        <v>1</v>
      </c>
      <c r="O367">
        <f>players[[#This Row],[Goals]]+players[[#This Row],[Assists]]</f>
        <v>1</v>
      </c>
      <c r="P367" s="1">
        <f>IF(players[[#This Row],[Matches]]&gt;0,players[[#This Row],[Total Goal Involvement]]/players[[#This Row],[Matches]],0)</f>
        <v>0.1111111111111111</v>
      </c>
      <c r="Q367" s="3">
        <f>players[[#This Row],[Total Goal Involvement per match]]/players[[#This Row],[Markey Value In Millions(£)]]</f>
        <v>5.6116722783389446E-3</v>
      </c>
      <c r="R367">
        <v>1</v>
      </c>
      <c r="S367">
        <v>0</v>
      </c>
      <c r="T367">
        <v>0</v>
      </c>
      <c r="U367">
        <v>3</v>
      </c>
      <c r="V367">
        <v>5</v>
      </c>
    </row>
    <row r="368" spans="1:22" x14ac:dyDescent="0.25">
      <c r="A368">
        <v>366</v>
      </c>
      <c r="B368" t="s">
        <v>510</v>
      </c>
      <c r="C368" t="s">
        <v>17</v>
      </c>
      <c r="D368" t="str" cm="1">
        <f t="array" ref="D36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68">
        <v>24</v>
      </c>
      <c r="F36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68" s="2">
        <v>19.8</v>
      </c>
      <c r="H36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8" t="s">
        <v>236</v>
      </c>
      <c r="J368" t="s">
        <v>257</v>
      </c>
      <c r="K368">
        <v>8</v>
      </c>
      <c r="L368">
        <v>3</v>
      </c>
      <c r="M368">
        <v>0</v>
      </c>
      <c r="N368">
        <v>0</v>
      </c>
      <c r="O368">
        <f>players[[#This Row],[Goals]]+players[[#This Row],[Assists]]</f>
        <v>3</v>
      </c>
      <c r="P368" s="1">
        <f>IF(players[[#This Row],[Matches]]&gt;0,players[[#This Row],[Total Goal Involvement]]/players[[#This Row],[Matches]],0)</f>
        <v>0.375</v>
      </c>
      <c r="Q368" s="3">
        <f>players[[#This Row],[Total Goal Involvement per match]]/players[[#This Row],[Markey Value In Millions(£)]]</f>
        <v>1.893939393939394E-2</v>
      </c>
      <c r="R368">
        <v>0</v>
      </c>
      <c r="S368">
        <v>0</v>
      </c>
      <c r="T368">
        <v>0</v>
      </c>
      <c r="U368">
        <v>3</v>
      </c>
      <c r="V368">
        <v>4</v>
      </c>
    </row>
    <row r="369" spans="1:22" x14ac:dyDescent="0.25">
      <c r="A369">
        <v>367</v>
      </c>
      <c r="B369" t="s">
        <v>511</v>
      </c>
      <c r="C369" t="s">
        <v>17</v>
      </c>
      <c r="D369" t="str" cm="1">
        <f t="array" ref="D36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69">
        <v>27</v>
      </c>
      <c r="F36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69" s="2">
        <v>19.8</v>
      </c>
      <c r="H36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69" t="s">
        <v>118</v>
      </c>
      <c r="J369" t="s">
        <v>512</v>
      </c>
      <c r="K369">
        <v>20</v>
      </c>
      <c r="L369">
        <v>12</v>
      </c>
      <c r="M369">
        <v>0</v>
      </c>
      <c r="N369">
        <v>0</v>
      </c>
      <c r="O369">
        <f>players[[#This Row],[Goals]]+players[[#This Row],[Assists]]</f>
        <v>12</v>
      </c>
      <c r="P369" s="1">
        <f>IF(players[[#This Row],[Matches]]&gt;0,players[[#This Row],[Total Goal Involvement]]/players[[#This Row],[Matches]],0)</f>
        <v>0.6</v>
      </c>
      <c r="Q369" s="3">
        <f>players[[#This Row],[Total Goal Involvement per match]]/players[[#This Row],[Markey Value In Millions(£)]]</f>
        <v>3.03030303030303E-2</v>
      </c>
      <c r="R369">
        <v>2</v>
      </c>
      <c r="S369">
        <v>0</v>
      </c>
      <c r="T369">
        <v>0</v>
      </c>
      <c r="U369">
        <v>2</v>
      </c>
      <c r="V369">
        <v>11</v>
      </c>
    </row>
    <row r="370" spans="1:22" x14ac:dyDescent="0.25">
      <c r="A370">
        <v>368</v>
      </c>
      <c r="B370" t="s">
        <v>513</v>
      </c>
      <c r="C370" t="s">
        <v>71</v>
      </c>
      <c r="D370" t="str" cm="1">
        <f t="array" ref="D37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70">
        <v>25</v>
      </c>
      <c r="F37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0" s="2">
        <v>19.8</v>
      </c>
      <c r="H37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0" t="s">
        <v>236</v>
      </c>
      <c r="J370" t="s">
        <v>193</v>
      </c>
      <c r="K370">
        <v>12</v>
      </c>
      <c r="L370">
        <v>0</v>
      </c>
      <c r="M370">
        <v>0</v>
      </c>
      <c r="N370">
        <v>0</v>
      </c>
      <c r="O370">
        <f>players[[#This Row],[Goals]]+players[[#This Row],[Assists]]</f>
        <v>0</v>
      </c>
      <c r="P370" s="1">
        <f>IF(players[[#This Row],[Matches]]&gt;0,players[[#This Row],[Total Goal Involvement]]/players[[#This Row],[Matches]],0)</f>
        <v>0</v>
      </c>
      <c r="Q370" s="3">
        <f>players[[#This Row],[Total Goal Involvement per match]]/players[[#This Row],[Markey Value In Millions(£)]]</f>
        <v>0</v>
      </c>
      <c r="R370">
        <v>3</v>
      </c>
      <c r="S370">
        <v>0</v>
      </c>
      <c r="T370">
        <v>0</v>
      </c>
      <c r="U370">
        <v>1</v>
      </c>
      <c r="V370">
        <v>0</v>
      </c>
    </row>
    <row r="371" spans="1:22" x14ac:dyDescent="0.25">
      <c r="A371">
        <v>369</v>
      </c>
      <c r="B371" t="s">
        <v>514</v>
      </c>
      <c r="C371" t="s">
        <v>99</v>
      </c>
      <c r="D371" t="str" cm="1">
        <f t="array" ref="D37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371">
        <v>24</v>
      </c>
      <c r="F37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1" s="2">
        <v>19.8</v>
      </c>
      <c r="H37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1" t="s">
        <v>24</v>
      </c>
      <c r="J371" t="s">
        <v>41</v>
      </c>
      <c r="K371">
        <v>3</v>
      </c>
      <c r="L371">
        <v>0</v>
      </c>
      <c r="M371">
        <v>0</v>
      </c>
      <c r="N371">
        <v>0</v>
      </c>
      <c r="O371">
        <f>players[[#This Row],[Goals]]+players[[#This Row],[Assists]]</f>
        <v>0</v>
      </c>
      <c r="P371" s="1">
        <f>IF(players[[#This Row],[Matches]]&gt;0,players[[#This Row],[Total Goal Involvement]]/players[[#This Row],[Matches]],0)</f>
        <v>0</v>
      </c>
      <c r="Q371" s="3">
        <f>players[[#This Row],[Total Goal Involvement per match]]/players[[#This Row],[Markey Value In Millions(£)]]</f>
        <v>0</v>
      </c>
      <c r="R371">
        <v>0</v>
      </c>
      <c r="S371">
        <v>0</v>
      </c>
      <c r="T371">
        <v>0</v>
      </c>
      <c r="U371">
        <v>0</v>
      </c>
      <c r="V371">
        <v>0</v>
      </c>
    </row>
    <row r="372" spans="1:22" x14ac:dyDescent="0.25">
      <c r="A372">
        <v>370</v>
      </c>
      <c r="B372" t="s">
        <v>515</v>
      </c>
      <c r="C372" t="s">
        <v>27</v>
      </c>
      <c r="D372" t="str" cm="1">
        <f t="array" ref="D37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72">
        <v>25</v>
      </c>
      <c r="F37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2" s="2">
        <v>19.8</v>
      </c>
      <c r="H37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2" t="s">
        <v>118</v>
      </c>
      <c r="J372" t="s">
        <v>138</v>
      </c>
      <c r="K372">
        <v>11</v>
      </c>
      <c r="L372">
        <v>2</v>
      </c>
      <c r="M372">
        <v>0</v>
      </c>
      <c r="N372">
        <v>1</v>
      </c>
      <c r="O372">
        <f>players[[#This Row],[Goals]]+players[[#This Row],[Assists]]</f>
        <v>3</v>
      </c>
      <c r="P372" s="1">
        <f>IF(players[[#This Row],[Matches]]&gt;0,players[[#This Row],[Total Goal Involvement]]/players[[#This Row],[Matches]],0)</f>
        <v>0.27272727272727271</v>
      </c>
      <c r="Q372" s="3">
        <f>players[[#This Row],[Total Goal Involvement per match]]/players[[#This Row],[Markey Value In Millions(£)]]</f>
        <v>1.3774104683195591E-2</v>
      </c>
      <c r="R372">
        <v>0</v>
      </c>
      <c r="S372">
        <v>0</v>
      </c>
      <c r="T372">
        <v>0</v>
      </c>
      <c r="U372">
        <v>4</v>
      </c>
      <c r="V372">
        <v>5</v>
      </c>
    </row>
    <row r="373" spans="1:22" x14ac:dyDescent="0.25">
      <c r="A373">
        <v>371</v>
      </c>
      <c r="B373" t="s">
        <v>516</v>
      </c>
      <c r="C373" t="s">
        <v>71</v>
      </c>
      <c r="D373" t="str" cm="1">
        <f t="array" ref="D37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73">
        <v>25</v>
      </c>
      <c r="F37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3" s="2">
        <v>19.8</v>
      </c>
      <c r="H37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3" t="s">
        <v>50</v>
      </c>
      <c r="J373" t="s">
        <v>104</v>
      </c>
      <c r="K373">
        <v>16</v>
      </c>
      <c r="L373">
        <v>0</v>
      </c>
      <c r="M373">
        <v>0</v>
      </c>
      <c r="N373">
        <v>1</v>
      </c>
      <c r="O373">
        <f>players[[#This Row],[Goals]]+players[[#This Row],[Assists]]</f>
        <v>1</v>
      </c>
      <c r="P373" s="1">
        <f>IF(players[[#This Row],[Matches]]&gt;0,players[[#This Row],[Total Goal Involvement]]/players[[#This Row],[Matches]],0)</f>
        <v>6.25E-2</v>
      </c>
      <c r="Q373" s="3">
        <f>players[[#This Row],[Total Goal Involvement per match]]/players[[#This Row],[Markey Value In Millions(£)]]</f>
        <v>3.1565656565656565E-3</v>
      </c>
      <c r="R373">
        <v>2</v>
      </c>
      <c r="S373">
        <v>0</v>
      </c>
      <c r="T373">
        <v>0</v>
      </c>
      <c r="U373">
        <v>0</v>
      </c>
      <c r="V373">
        <v>0</v>
      </c>
    </row>
    <row r="374" spans="1:22" x14ac:dyDescent="0.25">
      <c r="A374">
        <v>372</v>
      </c>
      <c r="B374" t="s">
        <v>517</v>
      </c>
      <c r="C374" t="s">
        <v>77</v>
      </c>
      <c r="D374" t="str" cm="1">
        <f t="array" ref="D37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74">
        <v>26</v>
      </c>
      <c r="F37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4" s="2">
        <v>19.8</v>
      </c>
      <c r="H37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4" t="s">
        <v>59</v>
      </c>
      <c r="J374" t="s">
        <v>475</v>
      </c>
      <c r="K374">
        <v>19</v>
      </c>
      <c r="L374">
        <v>2</v>
      </c>
      <c r="M374">
        <v>0</v>
      </c>
      <c r="N374">
        <v>3</v>
      </c>
      <c r="O374">
        <f>players[[#This Row],[Goals]]+players[[#This Row],[Assists]]</f>
        <v>5</v>
      </c>
      <c r="P374" s="1">
        <f>IF(players[[#This Row],[Matches]]&gt;0,players[[#This Row],[Total Goal Involvement]]/players[[#This Row],[Matches]],0)</f>
        <v>0.26315789473684209</v>
      </c>
      <c r="Q374" s="3">
        <f>players[[#This Row],[Total Goal Involvement per match]]/players[[#This Row],[Markey Value In Millions(£)]]</f>
        <v>1.3290802764486975E-2</v>
      </c>
      <c r="R374">
        <v>1</v>
      </c>
      <c r="S374">
        <v>0</v>
      </c>
      <c r="T374">
        <v>0</v>
      </c>
      <c r="U374">
        <v>2</v>
      </c>
      <c r="V374">
        <v>7</v>
      </c>
    </row>
    <row r="375" spans="1:22" x14ac:dyDescent="0.25">
      <c r="A375">
        <v>373</v>
      </c>
      <c r="B375" t="s">
        <v>518</v>
      </c>
      <c r="C375" t="s">
        <v>43</v>
      </c>
      <c r="D375" t="str" cm="1">
        <f t="array" ref="D37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75">
        <v>28</v>
      </c>
      <c r="F37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5" s="2">
        <v>19.8</v>
      </c>
      <c r="H37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5" t="s">
        <v>39</v>
      </c>
      <c r="J375" t="s">
        <v>41</v>
      </c>
      <c r="K375">
        <v>12</v>
      </c>
      <c r="L375">
        <v>1</v>
      </c>
      <c r="M375">
        <v>1</v>
      </c>
      <c r="N375">
        <v>0</v>
      </c>
      <c r="O375">
        <f>players[[#This Row],[Goals]]+players[[#This Row],[Assists]]</f>
        <v>1</v>
      </c>
      <c r="P375" s="1">
        <f>IF(players[[#This Row],[Matches]]&gt;0,players[[#This Row],[Total Goal Involvement]]/players[[#This Row],[Matches]],0)</f>
        <v>8.3333333333333329E-2</v>
      </c>
      <c r="Q375" s="3">
        <f>players[[#This Row],[Total Goal Involvement per match]]/players[[#This Row],[Markey Value In Millions(£)]]</f>
        <v>4.2087542087542087E-3</v>
      </c>
      <c r="R375">
        <v>4</v>
      </c>
      <c r="S375">
        <v>0</v>
      </c>
      <c r="T375">
        <v>0</v>
      </c>
      <c r="U375">
        <v>1</v>
      </c>
      <c r="V375">
        <v>6</v>
      </c>
    </row>
    <row r="376" spans="1:22" x14ac:dyDescent="0.25">
      <c r="A376">
        <v>374</v>
      </c>
      <c r="B376" t="s">
        <v>519</v>
      </c>
      <c r="C376" t="s">
        <v>17</v>
      </c>
      <c r="D376" t="str" cm="1">
        <f t="array" ref="D37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76">
        <v>28</v>
      </c>
      <c r="F37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6" s="2">
        <v>19.8</v>
      </c>
      <c r="H37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6" t="s">
        <v>24</v>
      </c>
      <c r="J376" t="s">
        <v>219</v>
      </c>
      <c r="K376">
        <v>6</v>
      </c>
      <c r="L376">
        <v>1</v>
      </c>
      <c r="M376">
        <v>0</v>
      </c>
      <c r="N376">
        <v>3</v>
      </c>
      <c r="O376">
        <f>players[[#This Row],[Goals]]+players[[#This Row],[Assists]]</f>
        <v>4</v>
      </c>
      <c r="P376" s="1">
        <f>IF(players[[#This Row],[Matches]]&gt;0,players[[#This Row],[Total Goal Involvement]]/players[[#This Row],[Matches]],0)</f>
        <v>0.66666666666666663</v>
      </c>
      <c r="Q376" s="3">
        <f>players[[#This Row],[Total Goal Involvement per match]]/players[[#This Row],[Markey Value In Millions(£)]]</f>
        <v>3.3670033670033669E-2</v>
      </c>
      <c r="R376">
        <v>1</v>
      </c>
      <c r="S376">
        <v>0</v>
      </c>
      <c r="T376">
        <v>0</v>
      </c>
      <c r="U376">
        <v>1</v>
      </c>
      <c r="V376">
        <v>1</v>
      </c>
    </row>
    <row r="377" spans="1:22" x14ac:dyDescent="0.25">
      <c r="A377">
        <v>375</v>
      </c>
      <c r="B377" t="s">
        <v>520</v>
      </c>
      <c r="C377" t="s">
        <v>71</v>
      </c>
      <c r="D377" t="str" cm="1">
        <f t="array" ref="D37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77">
        <v>27</v>
      </c>
      <c r="F37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7" s="2">
        <v>19.8</v>
      </c>
      <c r="H37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7" t="s">
        <v>24</v>
      </c>
      <c r="J377" t="s">
        <v>25</v>
      </c>
      <c r="K377">
        <v>13</v>
      </c>
      <c r="L377">
        <v>0</v>
      </c>
      <c r="M377">
        <v>1</v>
      </c>
      <c r="N377">
        <v>0</v>
      </c>
      <c r="O377">
        <f>players[[#This Row],[Goals]]+players[[#This Row],[Assists]]</f>
        <v>0</v>
      </c>
      <c r="P377" s="1">
        <f>IF(players[[#This Row],[Matches]]&gt;0,players[[#This Row],[Total Goal Involvement]]/players[[#This Row],[Matches]],0)</f>
        <v>0</v>
      </c>
      <c r="Q377" s="3">
        <f>players[[#This Row],[Total Goal Involvement per match]]/players[[#This Row],[Markey Value In Millions(£)]]</f>
        <v>0</v>
      </c>
      <c r="R377">
        <v>0</v>
      </c>
      <c r="S377">
        <v>0</v>
      </c>
      <c r="T377">
        <v>0</v>
      </c>
      <c r="U377">
        <v>0</v>
      </c>
      <c r="V377">
        <v>1</v>
      </c>
    </row>
    <row r="378" spans="1:22" x14ac:dyDescent="0.25">
      <c r="A378">
        <v>376</v>
      </c>
      <c r="B378" t="s">
        <v>521</v>
      </c>
      <c r="C378" t="s">
        <v>49</v>
      </c>
      <c r="D378" t="str" cm="1">
        <f t="array" ref="D37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78">
        <v>27</v>
      </c>
      <c r="F37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8" s="2">
        <v>19.8</v>
      </c>
      <c r="H37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8" t="s">
        <v>62</v>
      </c>
      <c r="J378" t="s">
        <v>19</v>
      </c>
      <c r="K378">
        <v>3</v>
      </c>
      <c r="L378">
        <v>0</v>
      </c>
      <c r="M378">
        <v>0</v>
      </c>
      <c r="N378">
        <v>0</v>
      </c>
      <c r="O378">
        <f>players[[#This Row],[Goals]]+players[[#This Row],[Assists]]</f>
        <v>0</v>
      </c>
      <c r="P378" s="1">
        <f>IF(players[[#This Row],[Matches]]&gt;0,players[[#This Row],[Total Goal Involvement]]/players[[#This Row],[Matches]],0)</f>
        <v>0</v>
      </c>
      <c r="Q378" s="3">
        <f>players[[#This Row],[Total Goal Involvement per match]]/players[[#This Row],[Markey Value In Millions(£)]]</f>
        <v>0</v>
      </c>
      <c r="R378">
        <v>2</v>
      </c>
      <c r="S378">
        <v>0</v>
      </c>
      <c r="T378">
        <v>0</v>
      </c>
      <c r="U378">
        <v>1</v>
      </c>
      <c r="V378">
        <v>1</v>
      </c>
    </row>
    <row r="379" spans="1:22" x14ac:dyDescent="0.25">
      <c r="A379">
        <v>377</v>
      </c>
      <c r="B379" t="s">
        <v>522</v>
      </c>
      <c r="C379" t="s">
        <v>71</v>
      </c>
      <c r="D379" t="str" cm="1">
        <f t="array" ref="D37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79">
        <v>28</v>
      </c>
      <c r="F37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79" s="2">
        <v>19.8</v>
      </c>
      <c r="H37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79" t="s">
        <v>497</v>
      </c>
      <c r="J379" t="s">
        <v>277</v>
      </c>
      <c r="K379">
        <v>10</v>
      </c>
      <c r="L379">
        <v>0</v>
      </c>
      <c r="M379">
        <v>0</v>
      </c>
      <c r="N379">
        <v>0</v>
      </c>
      <c r="O379">
        <f>players[[#This Row],[Goals]]+players[[#This Row],[Assists]]</f>
        <v>0</v>
      </c>
      <c r="P379" s="1">
        <f>IF(players[[#This Row],[Matches]]&gt;0,players[[#This Row],[Total Goal Involvement]]/players[[#This Row],[Matches]],0)</f>
        <v>0</v>
      </c>
      <c r="Q379" s="3">
        <f>players[[#This Row],[Total Goal Involvement per match]]/players[[#This Row],[Markey Value In Millions(£)]]</f>
        <v>0</v>
      </c>
      <c r="R379">
        <v>0</v>
      </c>
      <c r="S379">
        <v>0</v>
      </c>
      <c r="T379">
        <v>0</v>
      </c>
      <c r="U379">
        <v>3</v>
      </c>
      <c r="V379">
        <v>1</v>
      </c>
    </row>
    <row r="380" spans="1:22" x14ac:dyDescent="0.25">
      <c r="A380">
        <v>378</v>
      </c>
      <c r="B380" t="s">
        <v>523</v>
      </c>
      <c r="C380" t="s">
        <v>37</v>
      </c>
      <c r="D380" t="str" cm="1">
        <f t="array" ref="D38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80">
        <v>28</v>
      </c>
      <c r="F38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80" s="2">
        <v>19.8</v>
      </c>
      <c r="H38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80" t="s">
        <v>24</v>
      </c>
      <c r="J380" t="s">
        <v>41</v>
      </c>
      <c r="K380">
        <v>8</v>
      </c>
      <c r="L380">
        <v>2</v>
      </c>
      <c r="M380">
        <v>0</v>
      </c>
      <c r="N380">
        <v>1</v>
      </c>
      <c r="O380">
        <f>players[[#This Row],[Goals]]+players[[#This Row],[Assists]]</f>
        <v>3</v>
      </c>
      <c r="P380" s="1">
        <f>IF(players[[#This Row],[Matches]]&gt;0,players[[#This Row],[Total Goal Involvement]]/players[[#This Row],[Matches]],0)</f>
        <v>0.375</v>
      </c>
      <c r="Q380" s="3">
        <f>players[[#This Row],[Total Goal Involvement per match]]/players[[#This Row],[Markey Value In Millions(£)]]</f>
        <v>1.893939393939394E-2</v>
      </c>
      <c r="R380">
        <v>0</v>
      </c>
      <c r="S380">
        <v>0</v>
      </c>
      <c r="T380">
        <v>0</v>
      </c>
      <c r="U380">
        <v>7</v>
      </c>
      <c r="V380">
        <v>1</v>
      </c>
    </row>
    <row r="381" spans="1:22" x14ac:dyDescent="0.25">
      <c r="A381">
        <v>379</v>
      </c>
      <c r="B381" t="s">
        <v>524</v>
      </c>
      <c r="C381" t="s">
        <v>17</v>
      </c>
      <c r="D381" t="str" cm="1">
        <f t="array" ref="D38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81">
        <v>29</v>
      </c>
      <c r="F38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81" s="2">
        <v>19.8</v>
      </c>
      <c r="H38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81" t="s">
        <v>24</v>
      </c>
      <c r="J381" t="s">
        <v>252</v>
      </c>
      <c r="K381">
        <v>9</v>
      </c>
      <c r="L381">
        <v>3</v>
      </c>
      <c r="M381">
        <v>0</v>
      </c>
      <c r="N381">
        <v>2</v>
      </c>
      <c r="O381">
        <f>players[[#This Row],[Goals]]+players[[#This Row],[Assists]]</f>
        <v>5</v>
      </c>
      <c r="P381" s="1">
        <f>IF(players[[#This Row],[Matches]]&gt;0,players[[#This Row],[Total Goal Involvement]]/players[[#This Row],[Matches]],0)</f>
        <v>0.55555555555555558</v>
      </c>
      <c r="Q381" s="3">
        <f>players[[#This Row],[Total Goal Involvement per match]]/players[[#This Row],[Markey Value In Millions(£)]]</f>
        <v>2.8058361391694726E-2</v>
      </c>
      <c r="R381">
        <v>1</v>
      </c>
      <c r="S381">
        <v>0</v>
      </c>
      <c r="T381">
        <v>0</v>
      </c>
      <c r="U381">
        <v>0</v>
      </c>
      <c r="V381">
        <v>5</v>
      </c>
    </row>
    <row r="382" spans="1:22" x14ac:dyDescent="0.25">
      <c r="A382">
        <v>380</v>
      </c>
      <c r="B382" t="s">
        <v>525</v>
      </c>
      <c r="C382" t="s">
        <v>43</v>
      </c>
      <c r="D382" t="str" cm="1">
        <f t="array" ref="D38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82">
        <v>30</v>
      </c>
      <c r="F382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82" s="2">
        <v>19.8</v>
      </c>
      <c r="H38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82" t="s">
        <v>39</v>
      </c>
      <c r="J382" t="s">
        <v>138</v>
      </c>
      <c r="K382">
        <v>11</v>
      </c>
      <c r="L382">
        <v>0</v>
      </c>
      <c r="M382">
        <v>0</v>
      </c>
      <c r="N382">
        <v>1</v>
      </c>
      <c r="O382">
        <f>players[[#This Row],[Goals]]+players[[#This Row],[Assists]]</f>
        <v>1</v>
      </c>
      <c r="P382" s="1">
        <f>IF(players[[#This Row],[Matches]]&gt;0,players[[#This Row],[Total Goal Involvement]]/players[[#This Row],[Matches]],0)</f>
        <v>9.0909090909090912E-2</v>
      </c>
      <c r="Q382" s="3">
        <f>players[[#This Row],[Total Goal Involvement per match]]/players[[#This Row],[Markey Value In Millions(£)]]</f>
        <v>4.5913682277318639E-3</v>
      </c>
      <c r="R382">
        <v>1</v>
      </c>
      <c r="S382">
        <v>0</v>
      </c>
      <c r="T382">
        <v>0</v>
      </c>
      <c r="U382">
        <v>0</v>
      </c>
      <c r="V382">
        <v>2</v>
      </c>
    </row>
    <row r="383" spans="1:22" x14ac:dyDescent="0.25">
      <c r="A383">
        <v>381</v>
      </c>
      <c r="B383" t="s">
        <v>526</v>
      </c>
      <c r="C383" t="s">
        <v>17</v>
      </c>
      <c r="D383" t="str" cm="1">
        <f t="array" ref="D38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83">
        <v>29</v>
      </c>
      <c r="F38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83" s="2">
        <v>19.8</v>
      </c>
      <c r="H38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83" t="s">
        <v>24</v>
      </c>
      <c r="J383" t="s">
        <v>326</v>
      </c>
      <c r="K383">
        <v>7</v>
      </c>
      <c r="L383">
        <v>4</v>
      </c>
      <c r="M383">
        <v>0</v>
      </c>
      <c r="N383">
        <v>0</v>
      </c>
      <c r="O383">
        <f>players[[#This Row],[Goals]]+players[[#This Row],[Assists]]</f>
        <v>4</v>
      </c>
      <c r="P383" s="1">
        <f>IF(players[[#This Row],[Matches]]&gt;0,players[[#This Row],[Total Goal Involvement]]/players[[#This Row],[Matches]],0)</f>
        <v>0.5714285714285714</v>
      </c>
      <c r="Q383" s="3">
        <f>players[[#This Row],[Total Goal Involvement per match]]/players[[#This Row],[Markey Value In Millions(£)]]</f>
        <v>2.8860028860028857E-2</v>
      </c>
      <c r="R383">
        <v>3</v>
      </c>
      <c r="S383">
        <v>0</v>
      </c>
      <c r="T383">
        <v>0</v>
      </c>
      <c r="U383">
        <v>0</v>
      </c>
      <c r="V383">
        <v>3</v>
      </c>
    </row>
    <row r="384" spans="1:22" x14ac:dyDescent="0.25">
      <c r="A384">
        <v>382</v>
      </c>
      <c r="B384" t="s">
        <v>527</v>
      </c>
      <c r="C384" t="s">
        <v>49</v>
      </c>
      <c r="D384" t="str" cm="1">
        <f t="array" ref="D38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84">
        <v>29</v>
      </c>
      <c r="F38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84" s="2">
        <v>19.8</v>
      </c>
      <c r="H38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84" t="s">
        <v>324</v>
      </c>
      <c r="J384" t="s">
        <v>107</v>
      </c>
      <c r="K384">
        <v>5</v>
      </c>
      <c r="L384">
        <v>0</v>
      </c>
      <c r="M384">
        <v>0</v>
      </c>
      <c r="N384">
        <v>0</v>
      </c>
      <c r="O384">
        <f>players[[#This Row],[Goals]]+players[[#This Row],[Assists]]</f>
        <v>0</v>
      </c>
      <c r="P384" s="1">
        <f>IF(players[[#This Row],[Matches]]&gt;0,players[[#This Row],[Total Goal Involvement]]/players[[#This Row],[Matches]],0)</f>
        <v>0</v>
      </c>
      <c r="Q384" s="3">
        <f>players[[#This Row],[Total Goal Involvement per match]]/players[[#This Row],[Markey Value In Millions(£)]]</f>
        <v>0</v>
      </c>
      <c r="R384">
        <v>0</v>
      </c>
      <c r="S384">
        <v>0</v>
      </c>
      <c r="T384">
        <v>1</v>
      </c>
      <c r="U384">
        <v>0</v>
      </c>
      <c r="V384">
        <v>2</v>
      </c>
    </row>
    <row r="385" spans="1:22" x14ac:dyDescent="0.25">
      <c r="A385">
        <v>383</v>
      </c>
      <c r="B385" t="s">
        <v>528</v>
      </c>
      <c r="C385" t="s">
        <v>17</v>
      </c>
      <c r="D385" t="str" cm="1">
        <f t="array" ref="D38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85">
        <v>30</v>
      </c>
      <c r="F385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385" s="2">
        <v>19.8</v>
      </c>
      <c r="H38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Middle Price</v>
      </c>
      <c r="I385" t="s">
        <v>18</v>
      </c>
      <c r="J385" t="s">
        <v>107</v>
      </c>
      <c r="K385">
        <v>9</v>
      </c>
      <c r="L385">
        <v>3</v>
      </c>
      <c r="M385">
        <v>0</v>
      </c>
      <c r="N385">
        <v>1</v>
      </c>
      <c r="O385">
        <f>players[[#This Row],[Goals]]+players[[#This Row],[Assists]]</f>
        <v>4</v>
      </c>
      <c r="P385" s="1">
        <f>IF(players[[#This Row],[Matches]]&gt;0,players[[#This Row],[Total Goal Involvement]]/players[[#This Row],[Matches]],0)</f>
        <v>0.44444444444444442</v>
      </c>
      <c r="Q385" s="3">
        <f>players[[#This Row],[Total Goal Involvement per match]]/players[[#This Row],[Markey Value In Millions(£)]]</f>
        <v>2.2446689113355778E-2</v>
      </c>
      <c r="R385">
        <v>0</v>
      </c>
      <c r="S385">
        <v>0</v>
      </c>
      <c r="T385">
        <v>0</v>
      </c>
      <c r="U385">
        <v>5</v>
      </c>
      <c r="V385">
        <v>3</v>
      </c>
    </row>
    <row r="386" spans="1:22" x14ac:dyDescent="0.25">
      <c r="A386">
        <v>384</v>
      </c>
      <c r="B386" t="s">
        <v>529</v>
      </c>
      <c r="C386" t="s">
        <v>49</v>
      </c>
      <c r="D386" t="str" cm="1">
        <f t="array" ref="D38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86">
        <v>26</v>
      </c>
      <c r="F38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86" s="2">
        <v>18.899999999999999</v>
      </c>
      <c r="H38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86" t="s">
        <v>47</v>
      </c>
      <c r="J386" t="s">
        <v>411</v>
      </c>
      <c r="K386">
        <v>18</v>
      </c>
      <c r="L386">
        <v>2</v>
      </c>
      <c r="M386">
        <v>0</v>
      </c>
      <c r="N386">
        <v>0</v>
      </c>
      <c r="O386">
        <f>players[[#This Row],[Goals]]+players[[#This Row],[Assists]]</f>
        <v>2</v>
      </c>
      <c r="P386" s="1">
        <f>IF(players[[#This Row],[Matches]]&gt;0,players[[#This Row],[Total Goal Involvement]]/players[[#This Row],[Matches]],0)</f>
        <v>0.1111111111111111</v>
      </c>
      <c r="Q386" s="3">
        <f>players[[#This Row],[Total Goal Involvement per match]]/players[[#This Row],[Markey Value In Millions(£)]]</f>
        <v>5.8788947677836569E-3</v>
      </c>
      <c r="R386">
        <v>5</v>
      </c>
      <c r="S386">
        <v>0</v>
      </c>
      <c r="T386">
        <v>0</v>
      </c>
      <c r="U386">
        <v>2</v>
      </c>
      <c r="V386">
        <v>5</v>
      </c>
    </row>
    <row r="387" spans="1:22" x14ac:dyDescent="0.25">
      <c r="A387">
        <v>385</v>
      </c>
      <c r="B387" t="s">
        <v>530</v>
      </c>
      <c r="C387" t="s">
        <v>17</v>
      </c>
      <c r="D387" t="str" cm="1">
        <f t="array" ref="D38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87">
        <v>27</v>
      </c>
      <c r="F38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387" s="2">
        <v>18.899999999999999</v>
      </c>
      <c r="H38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87" t="s">
        <v>236</v>
      </c>
      <c r="J387" t="s">
        <v>165</v>
      </c>
      <c r="K387">
        <v>15</v>
      </c>
      <c r="L387">
        <v>4</v>
      </c>
      <c r="M387">
        <v>0</v>
      </c>
      <c r="N387">
        <v>3</v>
      </c>
      <c r="O387">
        <f>players[[#This Row],[Goals]]+players[[#This Row],[Assists]]</f>
        <v>7</v>
      </c>
      <c r="P387" s="1">
        <f>IF(players[[#This Row],[Matches]]&gt;0,players[[#This Row],[Total Goal Involvement]]/players[[#This Row],[Matches]],0)</f>
        <v>0.46666666666666667</v>
      </c>
      <c r="Q387" s="3">
        <f>players[[#This Row],[Total Goal Involvement per match]]/players[[#This Row],[Markey Value In Millions(£)]]</f>
        <v>2.469135802469136E-2</v>
      </c>
      <c r="R387">
        <v>2</v>
      </c>
      <c r="S387">
        <v>0</v>
      </c>
      <c r="T387">
        <v>0</v>
      </c>
      <c r="U387">
        <v>8</v>
      </c>
      <c r="V387">
        <v>5</v>
      </c>
    </row>
    <row r="388" spans="1:22" x14ac:dyDescent="0.25">
      <c r="A388">
        <v>386</v>
      </c>
      <c r="B388" t="s">
        <v>531</v>
      </c>
      <c r="C388" t="s">
        <v>37</v>
      </c>
      <c r="D388" t="str" cm="1">
        <f t="array" ref="D38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88">
        <v>20</v>
      </c>
      <c r="F388" t="str">
        <f>IF(players[[#This Row],[Age]]&gt;34,"Veterans",IF(players[[#This Row],[Age]]&gt;29,"Experienced",IF(players[[#This Row],[Age]]&gt;23,"Career peak",IF(players[[#This Row],[Age]]&gt;19,"Young","Teenagers"))))</f>
        <v>Young</v>
      </c>
      <c r="G388" s="2">
        <v>18</v>
      </c>
      <c r="H38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88" t="s">
        <v>62</v>
      </c>
      <c r="J388" t="s">
        <v>532</v>
      </c>
      <c r="K388">
        <v>16</v>
      </c>
      <c r="L388">
        <v>4</v>
      </c>
      <c r="M388">
        <v>0</v>
      </c>
      <c r="N388">
        <v>4</v>
      </c>
      <c r="O388">
        <f>players[[#This Row],[Goals]]+players[[#This Row],[Assists]]</f>
        <v>8</v>
      </c>
      <c r="P388" s="1">
        <f>IF(players[[#This Row],[Matches]]&gt;0,players[[#This Row],[Total Goal Involvement]]/players[[#This Row],[Matches]],0)</f>
        <v>0.5</v>
      </c>
      <c r="Q388" s="3">
        <f>players[[#This Row],[Total Goal Involvement per match]]/players[[#This Row],[Markey Value In Millions(£)]]</f>
        <v>2.7777777777777776E-2</v>
      </c>
      <c r="R388">
        <v>0</v>
      </c>
      <c r="S388">
        <v>0</v>
      </c>
      <c r="T388">
        <v>0</v>
      </c>
      <c r="U388">
        <v>1</v>
      </c>
      <c r="V388">
        <v>11</v>
      </c>
    </row>
    <row r="389" spans="1:22" x14ac:dyDescent="0.25">
      <c r="A389">
        <v>387</v>
      </c>
      <c r="B389" t="s">
        <v>533</v>
      </c>
      <c r="C389" t="s">
        <v>17</v>
      </c>
      <c r="D389" t="str" cm="1">
        <f t="array" ref="D38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89">
        <v>21</v>
      </c>
      <c r="F389" t="str">
        <f>IF(players[[#This Row],[Age]]&gt;34,"Veterans",IF(players[[#This Row],[Age]]&gt;29,"Experienced",IF(players[[#This Row],[Age]]&gt;23,"Career peak",IF(players[[#This Row],[Age]]&gt;19,"Young","Teenagers"))))</f>
        <v>Young</v>
      </c>
      <c r="G389" s="2">
        <v>18</v>
      </c>
      <c r="H38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89" t="s">
        <v>62</v>
      </c>
      <c r="J389" t="s">
        <v>534</v>
      </c>
      <c r="K389">
        <v>16</v>
      </c>
      <c r="L389">
        <v>15</v>
      </c>
      <c r="M389">
        <v>0</v>
      </c>
      <c r="N389">
        <v>6</v>
      </c>
      <c r="O389">
        <f>players[[#This Row],[Goals]]+players[[#This Row],[Assists]]</f>
        <v>21</v>
      </c>
      <c r="P389" s="1">
        <f>IF(players[[#This Row],[Matches]]&gt;0,players[[#This Row],[Total Goal Involvement]]/players[[#This Row],[Matches]],0)</f>
        <v>1.3125</v>
      </c>
      <c r="Q389" s="3">
        <f>players[[#This Row],[Total Goal Involvement per match]]/players[[#This Row],[Markey Value In Millions(£)]]</f>
        <v>7.2916666666666671E-2</v>
      </c>
      <c r="R389">
        <v>1</v>
      </c>
      <c r="S389">
        <v>0</v>
      </c>
      <c r="T389">
        <v>0</v>
      </c>
      <c r="U389">
        <v>3</v>
      </c>
      <c r="V389">
        <v>4</v>
      </c>
    </row>
    <row r="390" spans="1:22" x14ac:dyDescent="0.25">
      <c r="A390">
        <v>388</v>
      </c>
      <c r="B390" t="s">
        <v>535</v>
      </c>
      <c r="C390" t="s">
        <v>37</v>
      </c>
      <c r="D390" t="str" cm="1">
        <f t="array" ref="D39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90">
        <v>21</v>
      </c>
      <c r="F390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0" s="2">
        <v>18</v>
      </c>
      <c r="H39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0" t="s">
        <v>18</v>
      </c>
      <c r="J390" t="s">
        <v>259</v>
      </c>
      <c r="K390">
        <v>24</v>
      </c>
      <c r="L390">
        <v>8</v>
      </c>
      <c r="M390">
        <v>0</v>
      </c>
      <c r="N390">
        <v>6</v>
      </c>
      <c r="O390">
        <f>players[[#This Row],[Goals]]+players[[#This Row],[Assists]]</f>
        <v>14</v>
      </c>
      <c r="P390" s="1">
        <f>IF(players[[#This Row],[Matches]]&gt;0,players[[#This Row],[Total Goal Involvement]]/players[[#This Row],[Matches]],0)</f>
        <v>0.58333333333333337</v>
      </c>
      <c r="Q390" s="3">
        <f>players[[#This Row],[Total Goal Involvement per match]]/players[[#This Row],[Markey Value In Millions(£)]]</f>
        <v>3.2407407407407413E-2</v>
      </c>
      <c r="R390">
        <v>4</v>
      </c>
      <c r="S390">
        <v>0</v>
      </c>
      <c r="T390">
        <v>0</v>
      </c>
      <c r="U390">
        <v>9</v>
      </c>
      <c r="V390">
        <v>10</v>
      </c>
    </row>
    <row r="391" spans="1:22" x14ac:dyDescent="0.25">
      <c r="A391">
        <v>389</v>
      </c>
      <c r="B391" t="s">
        <v>536</v>
      </c>
      <c r="C391" t="s">
        <v>49</v>
      </c>
      <c r="D391" t="str" cm="1">
        <f t="array" ref="D39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91">
        <v>19</v>
      </c>
      <c r="F391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391" s="2">
        <v>18</v>
      </c>
      <c r="H39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1" t="s">
        <v>55</v>
      </c>
      <c r="J391" t="s">
        <v>537</v>
      </c>
      <c r="K391">
        <v>13</v>
      </c>
      <c r="L391">
        <v>0</v>
      </c>
      <c r="M391">
        <v>0</v>
      </c>
      <c r="N391">
        <v>1</v>
      </c>
      <c r="O391">
        <f>players[[#This Row],[Goals]]+players[[#This Row],[Assists]]</f>
        <v>1</v>
      </c>
      <c r="P391" s="1">
        <f>IF(players[[#This Row],[Matches]]&gt;0,players[[#This Row],[Total Goal Involvement]]/players[[#This Row],[Matches]],0)</f>
        <v>7.6923076923076927E-2</v>
      </c>
      <c r="Q391" s="3">
        <f>players[[#This Row],[Total Goal Involvement per match]]/players[[#This Row],[Markey Value In Millions(£)]]</f>
        <v>4.2735042735042739E-3</v>
      </c>
      <c r="R391">
        <v>2</v>
      </c>
      <c r="S391">
        <v>0</v>
      </c>
      <c r="T391">
        <v>0</v>
      </c>
      <c r="U391">
        <v>3</v>
      </c>
      <c r="V391">
        <v>4</v>
      </c>
    </row>
    <row r="392" spans="1:22" x14ac:dyDescent="0.25">
      <c r="A392">
        <v>390</v>
      </c>
      <c r="B392" t="s">
        <v>538</v>
      </c>
      <c r="C392" t="s">
        <v>69</v>
      </c>
      <c r="D392" t="str" cm="1">
        <f t="array" ref="D39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392">
        <v>22</v>
      </c>
      <c r="F392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2" s="2">
        <v>18</v>
      </c>
      <c r="H39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2" t="s">
        <v>59</v>
      </c>
      <c r="J392" t="s">
        <v>411</v>
      </c>
      <c r="K392">
        <v>15</v>
      </c>
      <c r="L392">
        <v>2</v>
      </c>
      <c r="M392">
        <v>0</v>
      </c>
      <c r="N392">
        <v>2</v>
      </c>
      <c r="O392">
        <f>players[[#This Row],[Goals]]+players[[#This Row],[Assists]]</f>
        <v>4</v>
      </c>
      <c r="P392" s="1">
        <f>IF(players[[#This Row],[Matches]]&gt;0,players[[#This Row],[Total Goal Involvement]]/players[[#This Row],[Matches]],0)</f>
        <v>0.26666666666666666</v>
      </c>
      <c r="Q392" s="3">
        <f>players[[#This Row],[Total Goal Involvement per match]]/players[[#This Row],[Markey Value In Millions(£)]]</f>
        <v>1.4814814814814815E-2</v>
      </c>
      <c r="R392">
        <v>5</v>
      </c>
      <c r="S392">
        <v>0</v>
      </c>
      <c r="T392">
        <v>0</v>
      </c>
      <c r="U392">
        <v>5</v>
      </c>
      <c r="V392">
        <v>6</v>
      </c>
    </row>
    <row r="393" spans="1:22" x14ac:dyDescent="0.25">
      <c r="A393">
        <v>391</v>
      </c>
      <c r="B393" t="s">
        <v>539</v>
      </c>
      <c r="C393" t="s">
        <v>17</v>
      </c>
      <c r="D393" t="str" cm="1">
        <f t="array" ref="D39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93">
        <v>22</v>
      </c>
      <c r="F393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3" s="2">
        <v>18</v>
      </c>
      <c r="H39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3" t="s">
        <v>109</v>
      </c>
      <c r="J393" t="s">
        <v>475</v>
      </c>
      <c r="K393">
        <v>13</v>
      </c>
      <c r="L393">
        <v>8</v>
      </c>
      <c r="M393">
        <v>0</v>
      </c>
      <c r="N393">
        <v>2</v>
      </c>
      <c r="O393">
        <f>players[[#This Row],[Goals]]+players[[#This Row],[Assists]]</f>
        <v>10</v>
      </c>
      <c r="P393" s="1">
        <f>IF(players[[#This Row],[Matches]]&gt;0,players[[#This Row],[Total Goal Involvement]]/players[[#This Row],[Matches]],0)</f>
        <v>0.76923076923076927</v>
      </c>
      <c r="Q393" s="3">
        <f>players[[#This Row],[Total Goal Involvement per match]]/players[[#This Row],[Markey Value In Millions(£)]]</f>
        <v>4.2735042735042736E-2</v>
      </c>
      <c r="R393">
        <v>2</v>
      </c>
      <c r="S393">
        <v>0</v>
      </c>
      <c r="T393">
        <v>0</v>
      </c>
      <c r="U393">
        <v>3</v>
      </c>
      <c r="V393">
        <v>8</v>
      </c>
    </row>
    <row r="394" spans="1:22" x14ac:dyDescent="0.25">
      <c r="A394">
        <v>392</v>
      </c>
      <c r="B394" t="s">
        <v>540</v>
      </c>
      <c r="C394" t="s">
        <v>99</v>
      </c>
      <c r="D394" t="str" cm="1">
        <f t="array" ref="D39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394">
        <v>21</v>
      </c>
      <c r="F394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4" s="2">
        <v>18</v>
      </c>
      <c r="H39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4" t="s">
        <v>18</v>
      </c>
      <c r="J394" t="s">
        <v>219</v>
      </c>
      <c r="K394">
        <v>19</v>
      </c>
      <c r="L394">
        <v>0</v>
      </c>
      <c r="M394">
        <v>0</v>
      </c>
      <c r="N394">
        <v>0</v>
      </c>
      <c r="O394">
        <f>players[[#This Row],[Goals]]+players[[#This Row],[Assists]]</f>
        <v>0</v>
      </c>
      <c r="P394" s="1">
        <f>IF(players[[#This Row],[Matches]]&gt;0,players[[#This Row],[Total Goal Involvement]]/players[[#This Row],[Matches]],0)</f>
        <v>0</v>
      </c>
      <c r="Q394" s="3">
        <f>players[[#This Row],[Total Goal Involvement per match]]/players[[#This Row],[Markey Value In Millions(£)]]</f>
        <v>0</v>
      </c>
      <c r="R394">
        <v>1</v>
      </c>
      <c r="S394">
        <v>0</v>
      </c>
      <c r="T394">
        <v>0</v>
      </c>
      <c r="U394">
        <v>0</v>
      </c>
      <c r="V394">
        <v>0</v>
      </c>
    </row>
    <row r="395" spans="1:22" x14ac:dyDescent="0.25">
      <c r="A395">
        <v>393</v>
      </c>
      <c r="B395" t="s">
        <v>541</v>
      </c>
      <c r="C395" t="s">
        <v>27</v>
      </c>
      <c r="D395" t="str" cm="1">
        <f t="array" ref="D39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95">
        <v>21</v>
      </c>
      <c r="F395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5" s="2">
        <v>18</v>
      </c>
      <c r="H39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5" t="s">
        <v>236</v>
      </c>
      <c r="J395" t="s">
        <v>542</v>
      </c>
      <c r="K395">
        <v>8</v>
      </c>
      <c r="L395">
        <v>0</v>
      </c>
      <c r="M395">
        <v>0</v>
      </c>
      <c r="N395">
        <v>0</v>
      </c>
      <c r="O395">
        <f>players[[#This Row],[Goals]]+players[[#This Row],[Assists]]</f>
        <v>0</v>
      </c>
      <c r="P395" s="1">
        <f>IF(players[[#This Row],[Matches]]&gt;0,players[[#This Row],[Total Goal Involvement]]/players[[#This Row],[Matches]],0)</f>
        <v>0</v>
      </c>
      <c r="Q395" s="3">
        <f>players[[#This Row],[Total Goal Involvement per match]]/players[[#This Row],[Markey Value In Millions(£)]]</f>
        <v>0</v>
      </c>
      <c r="R395">
        <v>1</v>
      </c>
      <c r="S395">
        <v>0</v>
      </c>
      <c r="T395">
        <v>0</v>
      </c>
      <c r="U395">
        <v>2</v>
      </c>
      <c r="V395">
        <v>4</v>
      </c>
    </row>
    <row r="396" spans="1:22" x14ac:dyDescent="0.25">
      <c r="A396">
        <v>394</v>
      </c>
      <c r="B396" t="s">
        <v>543</v>
      </c>
      <c r="C396" t="s">
        <v>17</v>
      </c>
      <c r="D396" t="str" cm="1">
        <f t="array" ref="D39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96">
        <v>19</v>
      </c>
      <c r="F396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396" s="2">
        <v>18</v>
      </c>
      <c r="H39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6" t="s">
        <v>50</v>
      </c>
      <c r="J396" t="s">
        <v>544</v>
      </c>
      <c r="K396">
        <v>22</v>
      </c>
      <c r="L396">
        <v>15</v>
      </c>
      <c r="M396">
        <v>0</v>
      </c>
      <c r="N396">
        <v>2</v>
      </c>
      <c r="O396">
        <f>players[[#This Row],[Goals]]+players[[#This Row],[Assists]]</f>
        <v>17</v>
      </c>
      <c r="P396" s="1">
        <f>IF(players[[#This Row],[Matches]]&gt;0,players[[#This Row],[Total Goal Involvement]]/players[[#This Row],[Matches]],0)</f>
        <v>0.77272727272727271</v>
      </c>
      <c r="Q396" s="3">
        <f>players[[#This Row],[Total Goal Involvement per match]]/players[[#This Row],[Markey Value In Millions(£)]]</f>
        <v>4.2929292929292928E-2</v>
      </c>
      <c r="R396">
        <v>3</v>
      </c>
      <c r="S396">
        <v>0</v>
      </c>
      <c r="T396">
        <v>0</v>
      </c>
      <c r="U396">
        <v>2</v>
      </c>
      <c r="V396">
        <v>20</v>
      </c>
    </row>
    <row r="397" spans="1:22" x14ac:dyDescent="0.25">
      <c r="A397">
        <v>395</v>
      </c>
      <c r="B397" t="s">
        <v>545</v>
      </c>
      <c r="C397" t="s">
        <v>43</v>
      </c>
      <c r="D397" t="str" cm="1">
        <f t="array" ref="D39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97">
        <v>23</v>
      </c>
      <c r="F397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7" s="2">
        <v>18</v>
      </c>
      <c r="H39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7" t="s">
        <v>500</v>
      </c>
      <c r="J397" t="s">
        <v>416</v>
      </c>
      <c r="K397">
        <v>8</v>
      </c>
      <c r="L397">
        <v>2</v>
      </c>
      <c r="M397">
        <v>0</v>
      </c>
      <c r="N397">
        <v>2</v>
      </c>
      <c r="O397">
        <f>players[[#This Row],[Goals]]+players[[#This Row],[Assists]]</f>
        <v>4</v>
      </c>
      <c r="P397" s="1">
        <f>IF(players[[#This Row],[Matches]]&gt;0,players[[#This Row],[Total Goal Involvement]]/players[[#This Row],[Matches]],0)</f>
        <v>0.5</v>
      </c>
      <c r="Q397" s="3">
        <f>players[[#This Row],[Total Goal Involvement per match]]/players[[#This Row],[Markey Value In Millions(£)]]</f>
        <v>2.7777777777777776E-2</v>
      </c>
      <c r="R397">
        <v>1</v>
      </c>
      <c r="S397">
        <v>0</v>
      </c>
      <c r="T397">
        <v>0</v>
      </c>
      <c r="U397">
        <v>4</v>
      </c>
      <c r="V397">
        <v>3</v>
      </c>
    </row>
    <row r="398" spans="1:22" x14ac:dyDescent="0.25">
      <c r="A398">
        <v>396</v>
      </c>
      <c r="B398" t="s">
        <v>546</v>
      </c>
      <c r="C398" t="s">
        <v>17</v>
      </c>
      <c r="D398" t="str" cm="1">
        <f t="array" ref="D39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398">
        <v>23</v>
      </c>
      <c r="F398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8" s="2">
        <v>18</v>
      </c>
      <c r="H39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8" t="s">
        <v>547</v>
      </c>
      <c r="J398" t="s">
        <v>548</v>
      </c>
      <c r="K398">
        <v>12</v>
      </c>
      <c r="L398">
        <v>4</v>
      </c>
      <c r="M398">
        <v>0</v>
      </c>
      <c r="N398">
        <v>4</v>
      </c>
      <c r="O398">
        <f>players[[#This Row],[Goals]]+players[[#This Row],[Assists]]</f>
        <v>8</v>
      </c>
      <c r="P398" s="1">
        <f>IF(players[[#This Row],[Matches]]&gt;0,players[[#This Row],[Total Goal Involvement]]/players[[#This Row],[Matches]],0)</f>
        <v>0.66666666666666663</v>
      </c>
      <c r="Q398" s="3">
        <f>players[[#This Row],[Total Goal Involvement per match]]/players[[#This Row],[Markey Value In Millions(£)]]</f>
        <v>3.7037037037037035E-2</v>
      </c>
      <c r="R398">
        <v>0</v>
      </c>
      <c r="S398">
        <v>0</v>
      </c>
      <c r="T398">
        <v>0</v>
      </c>
      <c r="U398">
        <v>2</v>
      </c>
      <c r="V398">
        <v>8</v>
      </c>
    </row>
    <row r="399" spans="1:22" x14ac:dyDescent="0.25">
      <c r="A399">
        <v>397</v>
      </c>
      <c r="B399" t="s">
        <v>549</v>
      </c>
      <c r="C399" t="s">
        <v>37</v>
      </c>
      <c r="D399" t="str" cm="1">
        <f t="array" ref="D39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399">
        <v>23</v>
      </c>
      <c r="F399" t="str">
        <f>IF(players[[#This Row],[Age]]&gt;34,"Veterans",IF(players[[#This Row],[Age]]&gt;29,"Experienced",IF(players[[#This Row],[Age]]&gt;23,"Career peak",IF(players[[#This Row],[Age]]&gt;19,"Young","Teenagers"))))</f>
        <v>Young</v>
      </c>
      <c r="G399" s="2">
        <v>18</v>
      </c>
      <c r="H39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399" t="s">
        <v>24</v>
      </c>
      <c r="J399" t="s">
        <v>193</v>
      </c>
      <c r="K399">
        <v>2</v>
      </c>
      <c r="L399">
        <v>0</v>
      </c>
      <c r="M399">
        <v>0</v>
      </c>
      <c r="N399">
        <v>0</v>
      </c>
      <c r="O399">
        <f>players[[#This Row],[Goals]]+players[[#This Row],[Assists]]</f>
        <v>0</v>
      </c>
      <c r="P399" s="1">
        <f>IF(players[[#This Row],[Matches]]&gt;0,players[[#This Row],[Total Goal Involvement]]/players[[#This Row],[Matches]],0)</f>
        <v>0</v>
      </c>
      <c r="Q399" s="3">
        <f>players[[#This Row],[Total Goal Involvement per match]]/players[[#This Row],[Markey Value In Millions(£)]]</f>
        <v>0</v>
      </c>
      <c r="R399">
        <v>0</v>
      </c>
      <c r="S399">
        <v>0</v>
      </c>
      <c r="T399">
        <v>0</v>
      </c>
      <c r="U399">
        <v>0</v>
      </c>
      <c r="V399">
        <v>2</v>
      </c>
    </row>
    <row r="400" spans="1:22" x14ac:dyDescent="0.25">
      <c r="A400">
        <v>398</v>
      </c>
      <c r="B400" t="s">
        <v>550</v>
      </c>
      <c r="C400" t="s">
        <v>71</v>
      </c>
      <c r="D400" t="str" cm="1">
        <f t="array" ref="D40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00">
        <v>20</v>
      </c>
      <c r="F400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0" s="2">
        <v>18</v>
      </c>
      <c r="H40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0" t="s">
        <v>59</v>
      </c>
      <c r="J400" t="s">
        <v>45</v>
      </c>
      <c r="K400">
        <v>13</v>
      </c>
      <c r="L400">
        <v>0</v>
      </c>
      <c r="M400">
        <v>0</v>
      </c>
      <c r="N400">
        <v>0</v>
      </c>
      <c r="O400">
        <f>players[[#This Row],[Goals]]+players[[#This Row],[Assists]]</f>
        <v>0</v>
      </c>
      <c r="P400" s="1">
        <f>IF(players[[#This Row],[Matches]]&gt;0,players[[#This Row],[Total Goal Involvement]]/players[[#This Row],[Matches]],0)</f>
        <v>0</v>
      </c>
      <c r="Q400" s="3">
        <f>players[[#This Row],[Total Goal Involvement per match]]/players[[#This Row],[Markey Value In Millions(£)]]</f>
        <v>0</v>
      </c>
      <c r="R400">
        <v>3</v>
      </c>
      <c r="S400">
        <v>1</v>
      </c>
      <c r="T400">
        <v>1</v>
      </c>
      <c r="U400">
        <v>1</v>
      </c>
      <c r="V400">
        <v>3</v>
      </c>
    </row>
    <row r="401" spans="1:22" x14ac:dyDescent="0.25">
      <c r="A401">
        <v>399</v>
      </c>
      <c r="B401" t="s">
        <v>551</v>
      </c>
      <c r="C401" t="s">
        <v>99</v>
      </c>
      <c r="D401" t="str" cm="1">
        <f t="array" ref="D40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01">
        <v>23</v>
      </c>
      <c r="F401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1" s="2">
        <v>18</v>
      </c>
      <c r="H40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1" t="s">
        <v>24</v>
      </c>
      <c r="J401" t="s">
        <v>107</v>
      </c>
      <c r="K401">
        <v>11</v>
      </c>
      <c r="L401">
        <v>0</v>
      </c>
      <c r="M401">
        <v>0</v>
      </c>
      <c r="N401">
        <v>0</v>
      </c>
      <c r="O401">
        <f>players[[#This Row],[Goals]]+players[[#This Row],[Assists]]</f>
        <v>0</v>
      </c>
      <c r="P401" s="1">
        <f>IF(players[[#This Row],[Matches]]&gt;0,players[[#This Row],[Total Goal Involvement]]/players[[#This Row],[Matches]],0)</f>
        <v>0</v>
      </c>
      <c r="Q401" s="3">
        <f>players[[#This Row],[Total Goal Involvement per match]]/players[[#This Row],[Markey Value In Millions(£)]]</f>
        <v>0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 x14ac:dyDescent="0.25">
      <c r="A402">
        <v>400</v>
      </c>
      <c r="B402" t="s">
        <v>552</v>
      </c>
      <c r="C402" t="s">
        <v>49</v>
      </c>
      <c r="D402" t="str" cm="1">
        <f t="array" ref="D40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02">
        <v>22</v>
      </c>
      <c r="F402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2" s="2">
        <v>18</v>
      </c>
      <c r="H40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2" t="s">
        <v>59</v>
      </c>
      <c r="J402" t="s">
        <v>85</v>
      </c>
      <c r="K402">
        <v>17</v>
      </c>
      <c r="L402">
        <v>0</v>
      </c>
      <c r="M402">
        <v>0</v>
      </c>
      <c r="N402">
        <v>1</v>
      </c>
      <c r="O402">
        <f>players[[#This Row],[Goals]]+players[[#This Row],[Assists]]</f>
        <v>1</v>
      </c>
      <c r="P402" s="1">
        <f>IF(players[[#This Row],[Matches]]&gt;0,players[[#This Row],[Total Goal Involvement]]/players[[#This Row],[Matches]],0)</f>
        <v>5.8823529411764705E-2</v>
      </c>
      <c r="Q402" s="3">
        <f>players[[#This Row],[Total Goal Involvement per match]]/players[[#This Row],[Markey Value In Millions(£)]]</f>
        <v>3.2679738562091504E-3</v>
      </c>
      <c r="R402">
        <v>3</v>
      </c>
      <c r="S402">
        <v>0</v>
      </c>
      <c r="T402">
        <v>0</v>
      </c>
      <c r="U402">
        <v>3</v>
      </c>
      <c r="V402">
        <v>2</v>
      </c>
    </row>
    <row r="403" spans="1:22" x14ac:dyDescent="0.25">
      <c r="A403">
        <v>401</v>
      </c>
      <c r="B403" t="s">
        <v>553</v>
      </c>
      <c r="C403" t="s">
        <v>30</v>
      </c>
      <c r="D403" t="str" cm="1">
        <f t="array" ref="D40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03">
        <v>22</v>
      </c>
      <c r="F403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3" s="2">
        <v>18</v>
      </c>
      <c r="H40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3" t="s">
        <v>118</v>
      </c>
      <c r="J403" t="s">
        <v>155</v>
      </c>
      <c r="K403">
        <v>7</v>
      </c>
      <c r="L403">
        <v>1</v>
      </c>
      <c r="M403">
        <v>0</v>
      </c>
      <c r="N403">
        <v>0</v>
      </c>
      <c r="O403">
        <f>players[[#This Row],[Goals]]+players[[#This Row],[Assists]]</f>
        <v>1</v>
      </c>
      <c r="P403" s="1">
        <f>IF(players[[#This Row],[Matches]]&gt;0,players[[#This Row],[Total Goal Involvement]]/players[[#This Row],[Matches]],0)</f>
        <v>0.14285714285714285</v>
      </c>
      <c r="Q403" s="3">
        <f>players[[#This Row],[Total Goal Involvement per match]]/players[[#This Row],[Markey Value In Millions(£)]]</f>
        <v>7.9365079365079361E-3</v>
      </c>
      <c r="R403">
        <v>1</v>
      </c>
      <c r="S403">
        <v>0</v>
      </c>
      <c r="T403">
        <v>0</v>
      </c>
      <c r="U403">
        <v>7</v>
      </c>
      <c r="V403">
        <v>0</v>
      </c>
    </row>
    <row r="404" spans="1:22" x14ac:dyDescent="0.25">
      <c r="A404">
        <v>402</v>
      </c>
      <c r="B404" t="s">
        <v>554</v>
      </c>
      <c r="C404" t="s">
        <v>69</v>
      </c>
      <c r="D404" t="str" cm="1">
        <f t="array" ref="D40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04">
        <v>23</v>
      </c>
      <c r="F404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4" s="2">
        <v>18</v>
      </c>
      <c r="H40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4" t="s">
        <v>39</v>
      </c>
      <c r="J404" t="s">
        <v>555</v>
      </c>
      <c r="K404">
        <v>20</v>
      </c>
      <c r="L404">
        <v>0</v>
      </c>
      <c r="M404">
        <v>0</v>
      </c>
      <c r="N404">
        <v>3</v>
      </c>
      <c r="O404">
        <f>players[[#This Row],[Goals]]+players[[#This Row],[Assists]]</f>
        <v>3</v>
      </c>
      <c r="P404" s="1">
        <f>IF(players[[#This Row],[Matches]]&gt;0,players[[#This Row],[Total Goal Involvement]]/players[[#This Row],[Matches]],0)</f>
        <v>0.15</v>
      </c>
      <c r="Q404" s="3">
        <f>players[[#This Row],[Total Goal Involvement per match]]/players[[#This Row],[Markey Value In Millions(£)]]</f>
        <v>8.3333333333333332E-3</v>
      </c>
      <c r="R404">
        <v>1</v>
      </c>
      <c r="S404">
        <v>0</v>
      </c>
      <c r="T404">
        <v>0</v>
      </c>
      <c r="U404">
        <v>1</v>
      </c>
      <c r="V404">
        <v>1</v>
      </c>
    </row>
    <row r="405" spans="1:22" x14ac:dyDescent="0.25">
      <c r="A405">
        <v>403</v>
      </c>
      <c r="B405" t="s">
        <v>556</v>
      </c>
      <c r="C405" t="s">
        <v>27</v>
      </c>
      <c r="D405" t="str" cm="1">
        <f t="array" ref="D40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05">
        <v>22</v>
      </c>
      <c r="F405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5" s="2">
        <v>18</v>
      </c>
      <c r="H40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5" t="s">
        <v>557</v>
      </c>
      <c r="J405" t="s">
        <v>555</v>
      </c>
      <c r="K405">
        <v>20</v>
      </c>
      <c r="L405">
        <v>3</v>
      </c>
      <c r="M405">
        <v>0</v>
      </c>
      <c r="N405">
        <v>2</v>
      </c>
      <c r="O405">
        <f>players[[#This Row],[Goals]]+players[[#This Row],[Assists]]</f>
        <v>5</v>
      </c>
      <c r="P405" s="1">
        <f>IF(players[[#This Row],[Matches]]&gt;0,players[[#This Row],[Total Goal Involvement]]/players[[#This Row],[Matches]],0)</f>
        <v>0.25</v>
      </c>
      <c r="Q405" s="3">
        <f>players[[#This Row],[Total Goal Involvement per match]]/players[[#This Row],[Markey Value In Millions(£)]]</f>
        <v>1.3888888888888888E-2</v>
      </c>
      <c r="R405">
        <v>1</v>
      </c>
      <c r="S405">
        <v>0</v>
      </c>
      <c r="T405">
        <v>0</v>
      </c>
      <c r="U405">
        <v>6</v>
      </c>
      <c r="V405">
        <v>11</v>
      </c>
    </row>
    <row r="406" spans="1:22" x14ac:dyDescent="0.25">
      <c r="A406">
        <v>404</v>
      </c>
      <c r="B406" t="s">
        <v>558</v>
      </c>
      <c r="C406" t="s">
        <v>71</v>
      </c>
      <c r="D406" t="str" cm="1">
        <f t="array" ref="D40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06">
        <v>21</v>
      </c>
      <c r="F406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6" s="2">
        <v>18</v>
      </c>
      <c r="H40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6" t="s">
        <v>24</v>
      </c>
      <c r="J406" t="s">
        <v>193</v>
      </c>
      <c r="K406">
        <v>17</v>
      </c>
      <c r="L406">
        <v>1</v>
      </c>
      <c r="M406">
        <v>0</v>
      </c>
      <c r="N406">
        <v>0</v>
      </c>
      <c r="O406">
        <f>players[[#This Row],[Goals]]+players[[#This Row],[Assists]]</f>
        <v>1</v>
      </c>
      <c r="P406" s="1">
        <f>IF(players[[#This Row],[Matches]]&gt;0,players[[#This Row],[Total Goal Involvement]]/players[[#This Row],[Matches]],0)</f>
        <v>5.8823529411764705E-2</v>
      </c>
      <c r="Q406" s="3">
        <f>players[[#This Row],[Total Goal Involvement per match]]/players[[#This Row],[Markey Value In Millions(£)]]</f>
        <v>3.2679738562091504E-3</v>
      </c>
      <c r="R406">
        <v>1</v>
      </c>
      <c r="S406">
        <v>0</v>
      </c>
      <c r="T406">
        <v>0</v>
      </c>
      <c r="U406">
        <v>1</v>
      </c>
      <c r="V406">
        <v>0</v>
      </c>
    </row>
    <row r="407" spans="1:22" x14ac:dyDescent="0.25">
      <c r="A407">
        <v>405</v>
      </c>
      <c r="B407" t="s">
        <v>559</v>
      </c>
      <c r="C407" t="s">
        <v>37</v>
      </c>
      <c r="D407" t="str" cm="1">
        <f t="array" ref="D40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07">
        <v>21</v>
      </c>
      <c r="F407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7" s="2">
        <v>18</v>
      </c>
      <c r="H40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7" t="s">
        <v>140</v>
      </c>
      <c r="J407" t="s">
        <v>283</v>
      </c>
      <c r="K407">
        <v>11</v>
      </c>
      <c r="L407">
        <v>1</v>
      </c>
      <c r="M407">
        <v>0</v>
      </c>
      <c r="N407">
        <v>2</v>
      </c>
      <c r="O407">
        <f>players[[#This Row],[Goals]]+players[[#This Row],[Assists]]</f>
        <v>3</v>
      </c>
      <c r="P407" s="1">
        <f>IF(players[[#This Row],[Matches]]&gt;0,players[[#This Row],[Total Goal Involvement]]/players[[#This Row],[Matches]],0)</f>
        <v>0.27272727272727271</v>
      </c>
      <c r="Q407" s="3">
        <f>players[[#This Row],[Total Goal Involvement per match]]/players[[#This Row],[Markey Value In Millions(£)]]</f>
        <v>1.515151515151515E-2</v>
      </c>
      <c r="R407">
        <v>1</v>
      </c>
      <c r="S407">
        <v>0</v>
      </c>
      <c r="T407">
        <v>0</v>
      </c>
      <c r="U407">
        <v>7</v>
      </c>
      <c r="V407">
        <v>4</v>
      </c>
    </row>
    <row r="408" spans="1:22" x14ac:dyDescent="0.25">
      <c r="A408">
        <v>406</v>
      </c>
      <c r="B408" t="s">
        <v>560</v>
      </c>
      <c r="C408" t="s">
        <v>37</v>
      </c>
      <c r="D408" t="str" cm="1">
        <f t="array" ref="D40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08">
        <v>24</v>
      </c>
      <c r="F40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08" s="2">
        <v>18</v>
      </c>
      <c r="H40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8" t="s">
        <v>183</v>
      </c>
      <c r="J408" t="s">
        <v>249</v>
      </c>
      <c r="K408">
        <v>15</v>
      </c>
      <c r="L408">
        <v>1</v>
      </c>
      <c r="M408">
        <v>0</v>
      </c>
      <c r="N408">
        <v>1</v>
      </c>
      <c r="O408">
        <f>players[[#This Row],[Goals]]+players[[#This Row],[Assists]]</f>
        <v>2</v>
      </c>
      <c r="P408" s="1">
        <f>IF(players[[#This Row],[Matches]]&gt;0,players[[#This Row],[Total Goal Involvement]]/players[[#This Row],[Matches]],0)</f>
        <v>0.13333333333333333</v>
      </c>
      <c r="Q408" s="3">
        <f>players[[#This Row],[Total Goal Involvement per match]]/players[[#This Row],[Markey Value In Millions(£)]]</f>
        <v>7.4074074074074077E-3</v>
      </c>
      <c r="R408">
        <v>3</v>
      </c>
      <c r="S408">
        <v>0</v>
      </c>
      <c r="T408">
        <v>0</v>
      </c>
      <c r="U408">
        <v>11</v>
      </c>
      <c r="V408">
        <v>4</v>
      </c>
    </row>
    <row r="409" spans="1:22" x14ac:dyDescent="0.25">
      <c r="A409">
        <v>407</v>
      </c>
      <c r="B409" t="s">
        <v>561</v>
      </c>
      <c r="C409" t="s">
        <v>30</v>
      </c>
      <c r="D409" t="str" cm="1">
        <f t="array" ref="D40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09">
        <v>21</v>
      </c>
      <c r="F409" t="str">
        <f>IF(players[[#This Row],[Age]]&gt;34,"Veterans",IF(players[[#This Row],[Age]]&gt;29,"Experienced",IF(players[[#This Row],[Age]]&gt;23,"Career peak",IF(players[[#This Row],[Age]]&gt;19,"Young","Teenagers"))))</f>
        <v>Young</v>
      </c>
      <c r="G409" s="2">
        <v>18</v>
      </c>
      <c r="H40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09" t="s">
        <v>39</v>
      </c>
      <c r="J409" t="s">
        <v>555</v>
      </c>
      <c r="K409">
        <v>22</v>
      </c>
      <c r="L409">
        <v>7</v>
      </c>
      <c r="M409">
        <v>0</v>
      </c>
      <c r="N409">
        <v>2</v>
      </c>
      <c r="O409">
        <f>players[[#This Row],[Goals]]+players[[#This Row],[Assists]]</f>
        <v>9</v>
      </c>
      <c r="P409" s="1">
        <f>IF(players[[#This Row],[Matches]]&gt;0,players[[#This Row],[Total Goal Involvement]]/players[[#This Row],[Matches]],0)</f>
        <v>0.40909090909090912</v>
      </c>
      <c r="Q409" s="3">
        <f>players[[#This Row],[Total Goal Involvement per match]]/players[[#This Row],[Markey Value In Millions(£)]]</f>
        <v>2.2727272727272728E-2</v>
      </c>
      <c r="R409">
        <v>4</v>
      </c>
      <c r="S409">
        <v>0</v>
      </c>
      <c r="T409">
        <v>0</v>
      </c>
      <c r="U409">
        <v>7</v>
      </c>
      <c r="V409">
        <v>11</v>
      </c>
    </row>
    <row r="410" spans="1:22" x14ac:dyDescent="0.25">
      <c r="A410">
        <v>408</v>
      </c>
      <c r="B410" t="s">
        <v>562</v>
      </c>
      <c r="C410" t="s">
        <v>37</v>
      </c>
      <c r="D410" t="str" cm="1">
        <f t="array" ref="D41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10">
        <v>25</v>
      </c>
      <c r="F41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0" s="2">
        <v>18</v>
      </c>
      <c r="H41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0" t="s">
        <v>59</v>
      </c>
      <c r="J410" t="s">
        <v>82</v>
      </c>
      <c r="K410">
        <v>17</v>
      </c>
      <c r="L410">
        <v>4</v>
      </c>
      <c r="M410">
        <v>0</v>
      </c>
      <c r="N410">
        <v>2</v>
      </c>
      <c r="O410">
        <f>players[[#This Row],[Goals]]+players[[#This Row],[Assists]]</f>
        <v>6</v>
      </c>
      <c r="P410" s="1">
        <f>IF(players[[#This Row],[Matches]]&gt;0,players[[#This Row],[Total Goal Involvement]]/players[[#This Row],[Matches]],0)</f>
        <v>0.35294117647058826</v>
      </c>
      <c r="Q410" s="3">
        <f>players[[#This Row],[Total Goal Involvement per match]]/players[[#This Row],[Markey Value In Millions(£)]]</f>
        <v>1.9607843137254902E-2</v>
      </c>
      <c r="R410">
        <v>3</v>
      </c>
      <c r="S410">
        <v>0</v>
      </c>
      <c r="T410">
        <v>0</v>
      </c>
      <c r="U410">
        <v>5</v>
      </c>
      <c r="V410">
        <v>4</v>
      </c>
    </row>
    <row r="411" spans="1:22" x14ac:dyDescent="0.25">
      <c r="A411">
        <v>409</v>
      </c>
      <c r="B411" t="s">
        <v>563</v>
      </c>
      <c r="C411" t="s">
        <v>77</v>
      </c>
      <c r="D411" t="str" cm="1">
        <f t="array" ref="D41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11">
        <v>25</v>
      </c>
      <c r="F41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1" s="2">
        <v>18</v>
      </c>
      <c r="H41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1" t="s">
        <v>59</v>
      </c>
      <c r="J411" t="s">
        <v>155</v>
      </c>
      <c r="K411">
        <v>10</v>
      </c>
      <c r="L411">
        <v>0</v>
      </c>
      <c r="M411">
        <v>0</v>
      </c>
      <c r="N411">
        <v>2</v>
      </c>
      <c r="O411">
        <f>players[[#This Row],[Goals]]+players[[#This Row],[Assists]]</f>
        <v>2</v>
      </c>
      <c r="P411" s="1">
        <f>IF(players[[#This Row],[Matches]]&gt;0,players[[#This Row],[Total Goal Involvement]]/players[[#This Row],[Matches]],0)</f>
        <v>0.2</v>
      </c>
      <c r="Q411" s="3">
        <f>players[[#This Row],[Total Goal Involvement per match]]/players[[#This Row],[Markey Value In Millions(£)]]</f>
        <v>1.1111111111111112E-2</v>
      </c>
      <c r="R411">
        <v>2</v>
      </c>
      <c r="S411">
        <v>0</v>
      </c>
      <c r="T411">
        <v>0</v>
      </c>
      <c r="U411">
        <v>2</v>
      </c>
      <c r="V411">
        <v>7</v>
      </c>
    </row>
    <row r="412" spans="1:22" x14ac:dyDescent="0.25">
      <c r="A412">
        <v>410</v>
      </c>
      <c r="B412" t="s">
        <v>564</v>
      </c>
      <c r="C412" t="s">
        <v>71</v>
      </c>
      <c r="D412" t="str" cm="1">
        <f t="array" ref="D41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12">
        <v>24</v>
      </c>
      <c r="F41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2" s="2">
        <v>18</v>
      </c>
      <c r="H41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2" t="s">
        <v>59</v>
      </c>
      <c r="J412" t="s">
        <v>85</v>
      </c>
      <c r="K412">
        <v>11</v>
      </c>
      <c r="L412">
        <v>0</v>
      </c>
      <c r="M412">
        <v>0</v>
      </c>
      <c r="N412">
        <v>2</v>
      </c>
      <c r="O412">
        <f>players[[#This Row],[Goals]]+players[[#This Row],[Assists]]</f>
        <v>2</v>
      </c>
      <c r="P412" s="1">
        <f>IF(players[[#This Row],[Matches]]&gt;0,players[[#This Row],[Total Goal Involvement]]/players[[#This Row],[Matches]],0)</f>
        <v>0.18181818181818182</v>
      </c>
      <c r="Q412" s="3">
        <f>players[[#This Row],[Total Goal Involvement per match]]/players[[#This Row],[Markey Value In Millions(£)]]</f>
        <v>1.0101010101010102E-2</v>
      </c>
      <c r="R412">
        <v>2</v>
      </c>
      <c r="S412">
        <v>0</v>
      </c>
      <c r="T412">
        <v>0</v>
      </c>
      <c r="U412">
        <v>6</v>
      </c>
      <c r="V412">
        <v>0</v>
      </c>
    </row>
    <row r="413" spans="1:22" x14ac:dyDescent="0.25">
      <c r="A413">
        <v>411</v>
      </c>
      <c r="B413" t="s">
        <v>565</v>
      </c>
      <c r="C413" t="s">
        <v>71</v>
      </c>
      <c r="D413" t="str" cm="1">
        <f t="array" ref="D41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13">
        <v>25</v>
      </c>
      <c r="F41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3" s="2">
        <v>18</v>
      </c>
      <c r="H41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3" t="s">
        <v>24</v>
      </c>
      <c r="J413" t="s">
        <v>138</v>
      </c>
      <c r="K413">
        <v>6</v>
      </c>
      <c r="L413">
        <v>0</v>
      </c>
      <c r="M413">
        <v>0</v>
      </c>
      <c r="N413">
        <v>0</v>
      </c>
      <c r="O413">
        <f>players[[#This Row],[Goals]]+players[[#This Row],[Assists]]</f>
        <v>0</v>
      </c>
      <c r="P413" s="1">
        <f>IF(players[[#This Row],[Matches]]&gt;0,players[[#This Row],[Total Goal Involvement]]/players[[#This Row],[Matches]],0)</f>
        <v>0</v>
      </c>
      <c r="Q413" s="3">
        <f>players[[#This Row],[Total Goal Involvement per match]]/players[[#This Row],[Markey Value In Millions(£)]]</f>
        <v>0</v>
      </c>
      <c r="R413">
        <v>0</v>
      </c>
      <c r="S413">
        <v>0</v>
      </c>
      <c r="T413">
        <v>1</v>
      </c>
      <c r="U413">
        <v>1</v>
      </c>
      <c r="V413">
        <v>0</v>
      </c>
    </row>
    <row r="414" spans="1:22" x14ac:dyDescent="0.25">
      <c r="A414">
        <v>412</v>
      </c>
      <c r="B414" t="s">
        <v>566</v>
      </c>
      <c r="C414" t="s">
        <v>17</v>
      </c>
      <c r="D414" t="str" cm="1">
        <f t="array" ref="D41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14">
        <v>25</v>
      </c>
      <c r="F41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4" s="2">
        <v>18</v>
      </c>
      <c r="H41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4" t="s">
        <v>113</v>
      </c>
      <c r="J414" t="s">
        <v>308</v>
      </c>
      <c r="K414">
        <v>10</v>
      </c>
      <c r="L414">
        <v>2</v>
      </c>
      <c r="M414">
        <v>0</v>
      </c>
      <c r="N414">
        <v>1</v>
      </c>
      <c r="O414">
        <f>players[[#This Row],[Goals]]+players[[#This Row],[Assists]]</f>
        <v>3</v>
      </c>
      <c r="P414" s="1">
        <f>IF(players[[#This Row],[Matches]]&gt;0,players[[#This Row],[Total Goal Involvement]]/players[[#This Row],[Matches]],0)</f>
        <v>0.3</v>
      </c>
      <c r="Q414" s="3">
        <f>players[[#This Row],[Total Goal Involvement per match]]/players[[#This Row],[Markey Value In Millions(£)]]</f>
        <v>1.6666666666666666E-2</v>
      </c>
      <c r="R414">
        <v>0</v>
      </c>
      <c r="S414">
        <v>0</v>
      </c>
      <c r="T414">
        <v>0</v>
      </c>
      <c r="U414">
        <v>2</v>
      </c>
      <c r="V414">
        <v>4</v>
      </c>
    </row>
    <row r="415" spans="1:22" x14ac:dyDescent="0.25">
      <c r="A415">
        <v>413</v>
      </c>
      <c r="B415" t="s">
        <v>567</v>
      </c>
      <c r="C415" t="s">
        <v>43</v>
      </c>
      <c r="D415" t="str" cm="1">
        <f t="array" ref="D41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15">
        <v>24</v>
      </c>
      <c r="F41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5" s="2">
        <v>18</v>
      </c>
      <c r="H41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5" t="s">
        <v>39</v>
      </c>
      <c r="J415" t="s">
        <v>358</v>
      </c>
      <c r="K415">
        <v>14</v>
      </c>
      <c r="L415">
        <v>1</v>
      </c>
      <c r="M415">
        <v>0</v>
      </c>
      <c r="N415">
        <v>2</v>
      </c>
      <c r="O415">
        <f>players[[#This Row],[Goals]]+players[[#This Row],[Assists]]</f>
        <v>3</v>
      </c>
      <c r="P415" s="1">
        <f>IF(players[[#This Row],[Matches]]&gt;0,players[[#This Row],[Total Goal Involvement]]/players[[#This Row],[Matches]],0)</f>
        <v>0.21428571428571427</v>
      </c>
      <c r="Q415" s="3">
        <f>players[[#This Row],[Total Goal Involvement per match]]/players[[#This Row],[Markey Value In Millions(£)]]</f>
        <v>1.1904761904761904E-2</v>
      </c>
      <c r="R415">
        <v>0</v>
      </c>
      <c r="S415">
        <v>0</v>
      </c>
      <c r="T415">
        <v>0</v>
      </c>
      <c r="U415">
        <v>4</v>
      </c>
      <c r="V415">
        <v>8</v>
      </c>
    </row>
    <row r="416" spans="1:22" x14ac:dyDescent="0.25">
      <c r="A416">
        <v>414</v>
      </c>
      <c r="B416" t="s">
        <v>568</v>
      </c>
      <c r="C416" t="s">
        <v>49</v>
      </c>
      <c r="D416" t="str" cm="1">
        <f t="array" ref="D41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16">
        <v>22</v>
      </c>
      <c r="F416" t="str">
        <f>IF(players[[#This Row],[Age]]&gt;34,"Veterans",IF(players[[#This Row],[Age]]&gt;29,"Experienced",IF(players[[#This Row],[Age]]&gt;23,"Career peak",IF(players[[#This Row],[Age]]&gt;19,"Young","Teenagers"))))</f>
        <v>Young</v>
      </c>
      <c r="G416" s="2">
        <v>18</v>
      </c>
      <c r="H41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6" t="s">
        <v>162</v>
      </c>
      <c r="J416" t="s">
        <v>165</v>
      </c>
      <c r="K416">
        <v>13</v>
      </c>
      <c r="L416">
        <v>0</v>
      </c>
      <c r="M416">
        <v>0</v>
      </c>
      <c r="N416">
        <v>0</v>
      </c>
      <c r="O416">
        <f>players[[#This Row],[Goals]]+players[[#This Row],[Assists]]</f>
        <v>0</v>
      </c>
      <c r="P416" s="1">
        <f>IF(players[[#This Row],[Matches]]&gt;0,players[[#This Row],[Total Goal Involvement]]/players[[#This Row],[Matches]],0)</f>
        <v>0</v>
      </c>
      <c r="Q416" s="3">
        <f>players[[#This Row],[Total Goal Involvement per match]]/players[[#This Row],[Markey Value In Millions(£)]]</f>
        <v>0</v>
      </c>
      <c r="R416">
        <v>5</v>
      </c>
      <c r="S416">
        <v>0</v>
      </c>
      <c r="T416">
        <v>0</v>
      </c>
      <c r="U416">
        <v>3</v>
      </c>
      <c r="V416">
        <v>4</v>
      </c>
    </row>
    <row r="417" spans="1:22" x14ac:dyDescent="0.25">
      <c r="A417">
        <v>415</v>
      </c>
      <c r="B417" t="s">
        <v>569</v>
      </c>
      <c r="C417" t="s">
        <v>37</v>
      </c>
      <c r="D417" t="str" cm="1">
        <f t="array" ref="D41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17">
        <v>24</v>
      </c>
      <c r="F41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17" s="2">
        <v>18</v>
      </c>
      <c r="H41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7" t="s">
        <v>87</v>
      </c>
      <c r="J417" t="s">
        <v>277</v>
      </c>
      <c r="K417">
        <v>9</v>
      </c>
      <c r="L417">
        <v>1</v>
      </c>
      <c r="M417">
        <v>0</v>
      </c>
      <c r="N417">
        <v>0</v>
      </c>
      <c r="O417">
        <f>players[[#This Row],[Goals]]+players[[#This Row],[Assists]]</f>
        <v>1</v>
      </c>
      <c r="P417" s="1">
        <f>IF(players[[#This Row],[Matches]]&gt;0,players[[#This Row],[Total Goal Involvement]]/players[[#This Row],[Matches]],0)</f>
        <v>0.1111111111111111</v>
      </c>
      <c r="Q417" s="3">
        <f>players[[#This Row],[Total Goal Involvement per match]]/players[[#This Row],[Markey Value In Millions(£)]]</f>
        <v>6.1728395061728392E-3</v>
      </c>
      <c r="R417">
        <v>0</v>
      </c>
      <c r="S417">
        <v>0</v>
      </c>
      <c r="T417">
        <v>0</v>
      </c>
      <c r="U417">
        <v>2</v>
      </c>
      <c r="V417">
        <v>6</v>
      </c>
    </row>
    <row r="418" spans="1:22" x14ac:dyDescent="0.25">
      <c r="A418">
        <v>416</v>
      </c>
      <c r="B418" t="s">
        <v>570</v>
      </c>
      <c r="C418" t="s">
        <v>69</v>
      </c>
      <c r="D418" t="str" cm="1">
        <f t="array" ref="D41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18">
        <v>23</v>
      </c>
      <c r="F418" t="str">
        <f>IF(players[[#This Row],[Age]]&gt;34,"Veterans",IF(players[[#This Row],[Age]]&gt;29,"Experienced",IF(players[[#This Row],[Age]]&gt;23,"Career peak",IF(players[[#This Row],[Age]]&gt;19,"Young","Teenagers"))))</f>
        <v>Young</v>
      </c>
      <c r="G418" s="2">
        <v>18</v>
      </c>
      <c r="H41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8" t="s">
        <v>420</v>
      </c>
      <c r="J418" t="s">
        <v>107</v>
      </c>
      <c r="K418">
        <v>11</v>
      </c>
      <c r="L418">
        <v>0</v>
      </c>
      <c r="M418">
        <v>1</v>
      </c>
      <c r="N418">
        <v>0</v>
      </c>
      <c r="O418">
        <f>players[[#This Row],[Goals]]+players[[#This Row],[Assists]]</f>
        <v>0</v>
      </c>
      <c r="P418" s="1">
        <f>IF(players[[#This Row],[Matches]]&gt;0,players[[#This Row],[Total Goal Involvement]]/players[[#This Row],[Matches]],0)</f>
        <v>0</v>
      </c>
      <c r="Q418" s="3">
        <f>players[[#This Row],[Total Goal Involvement per match]]/players[[#This Row],[Markey Value In Millions(£)]]</f>
        <v>0</v>
      </c>
      <c r="R418">
        <v>1</v>
      </c>
      <c r="S418">
        <v>0</v>
      </c>
      <c r="T418">
        <v>0</v>
      </c>
      <c r="U418">
        <v>1</v>
      </c>
      <c r="V418">
        <v>2</v>
      </c>
    </row>
    <row r="419" spans="1:22" x14ac:dyDescent="0.25">
      <c r="A419">
        <v>417</v>
      </c>
      <c r="B419" t="s">
        <v>571</v>
      </c>
      <c r="C419" t="s">
        <v>37</v>
      </c>
      <c r="D419" t="str" cm="1">
        <f t="array" ref="D41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19">
        <v>23</v>
      </c>
      <c r="F419" t="str">
        <f>IF(players[[#This Row],[Age]]&gt;34,"Veterans",IF(players[[#This Row],[Age]]&gt;29,"Experienced",IF(players[[#This Row],[Age]]&gt;23,"Career peak",IF(players[[#This Row],[Age]]&gt;19,"Young","Teenagers"))))</f>
        <v>Young</v>
      </c>
      <c r="G419" s="2">
        <v>18</v>
      </c>
      <c r="H41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19" t="s">
        <v>18</v>
      </c>
      <c r="J419" t="s">
        <v>254</v>
      </c>
      <c r="K419">
        <v>0</v>
      </c>
      <c r="L419">
        <v>0</v>
      </c>
      <c r="M419">
        <v>0</v>
      </c>
      <c r="N419">
        <v>0</v>
      </c>
      <c r="O419">
        <f>players[[#This Row],[Goals]]+players[[#This Row],[Assists]]</f>
        <v>0</v>
      </c>
      <c r="P419" s="1">
        <f>IF(players[[#This Row],[Matches]]&gt;0,players[[#This Row],[Total Goal Involvement]]/players[[#This Row],[Matches]],0)</f>
        <v>0</v>
      </c>
      <c r="Q419" s="3">
        <f>players[[#This Row],[Total Goal Involvement per match]]/players[[#This Row],[Markey Value In Millions(£)]]</f>
        <v>0</v>
      </c>
      <c r="R419">
        <v>0</v>
      </c>
      <c r="S419">
        <v>0</v>
      </c>
      <c r="T419">
        <v>0</v>
      </c>
      <c r="U419">
        <v>0</v>
      </c>
      <c r="V419">
        <v>0</v>
      </c>
    </row>
    <row r="420" spans="1:22" x14ac:dyDescent="0.25">
      <c r="A420">
        <v>418</v>
      </c>
      <c r="B420" t="s">
        <v>572</v>
      </c>
      <c r="C420" t="s">
        <v>43</v>
      </c>
      <c r="D420" t="str" cm="1">
        <f t="array" ref="D42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20">
        <v>25</v>
      </c>
      <c r="F42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0" s="2">
        <v>18</v>
      </c>
      <c r="H42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0" t="s">
        <v>59</v>
      </c>
      <c r="J420" t="s">
        <v>102</v>
      </c>
      <c r="K420">
        <v>1</v>
      </c>
      <c r="L420">
        <v>0</v>
      </c>
      <c r="M420">
        <v>0</v>
      </c>
      <c r="N420">
        <v>0</v>
      </c>
      <c r="O420">
        <f>players[[#This Row],[Goals]]+players[[#This Row],[Assists]]</f>
        <v>0</v>
      </c>
      <c r="P420" s="1">
        <f>IF(players[[#This Row],[Matches]]&gt;0,players[[#This Row],[Total Goal Involvement]]/players[[#This Row],[Matches]],0)</f>
        <v>0</v>
      </c>
      <c r="Q420" s="3">
        <f>players[[#This Row],[Total Goal Involvement per match]]/players[[#This Row],[Markey Value In Millions(£)]]</f>
        <v>0</v>
      </c>
      <c r="R420">
        <v>0</v>
      </c>
      <c r="S420">
        <v>0</v>
      </c>
      <c r="T420">
        <v>0</v>
      </c>
      <c r="U420">
        <v>0</v>
      </c>
      <c r="V420">
        <v>1</v>
      </c>
    </row>
    <row r="421" spans="1:22" x14ac:dyDescent="0.25">
      <c r="A421">
        <v>419</v>
      </c>
      <c r="B421" t="s">
        <v>573</v>
      </c>
      <c r="C421" t="s">
        <v>348</v>
      </c>
      <c r="D421" t="str" cm="1">
        <f t="array" ref="D42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21">
        <v>25</v>
      </c>
      <c r="F42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1" s="2">
        <v>18</v>
      </c>
      <c r="H42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1" t="s">
        <v>109</v>
      </c>
      <c r="J421" t="s">
        <v>574</v>
      </c>
      <c r="K421">
        <v>11</v>
      </c>
      <c r="L421">
        <v>0</v>
      </c>
      <c r="M421">
        <v>0</v>
      </c>
      <c r="N421">
        <v>1</v>
      </c>
      <c r="O421">
        <f>players[[#This Row],[Goals]]+players[[#This Row],[Assists]]</f>
        <v>1</v>
      </c>
      <c r="P421" s="1">
        <f>IF(players[[#This Row],[Matches]]&gt;0,players[[#This Row],[Total Goal Involvement]]/players[[#This Row],[Matches]],0)</f>
        <v>9.0909090909090912E-2</v>
      </c>
      <c r="Q421" s="3">
        <f>players[[#This Row],[Total Goal Involvement per match]]/players[[#This Row],[Markey Value In Millions(£)]]</f>
        <v>5.0505050505050509E-3</v>
      </c>
      <c r="R421">
        <v>3</v>
      </c>
      <c r="S421">
        <v>0</v>
      </c>
      <c r="T421">
        <v>0</v>
      </c>
      <c r="U421">
        <v>1</v>
      </c>
      <c r="V421">
        <v>1</v>
      </c>
    </row>
    <row r="422" spans="1:22" x14ac:dyDescent="0.25">
      <c r="A422">
        <v>420</v>
      </c>
      <c r="B422" t="s">
        <v>575</v>
      </c>
      <c r="C422" t="s">
        <v>43</v>
      </c>
      <c r="D422" t="str" cm="1">
        <f t="array" ref="D42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22">
        <v>24</v>
      </c>
      <c r="F42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2" s="2">
        <v>18</v>
      </c>
      <c r="H42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2" t="s">
        <v>87</v>
      </c>
      <c r="J422" t="s">
        <v>159</v>
      </c>
      <c r="K422">
        <v>9</v>
      </c>
      <c r="L422">
        <v>0</v>
      </c>
      <c r="M422">
        <v>0</v>
      </c>
      <c r="N422">
        <v>1</v>
      </c>
      <c r="O422">
        <f>players[[#This Row],[Goals]]+players[[#This Row],[Assists]]</f>
        <v>1</v>
      </c>
      <c r="P422" s="1">
        <f>IF(players[[#This Row],[Matches]]&gt;0,players[[#This Row],[Total Goal Involvement]]/players[[#This Row],[Matches]],0)</f>
        <v>0.1111111111111111</v>
      </c>
      <c r="Q422" s="3">
        <f>players[[#This Row],[Total Goal Involvement per match]]/players[[#This Row],[Markey Value In Millions(£)]]</f>
        <v>6.1728395061728392E-3</v>
      </c>
      <c r="R422">
        <v>2</v>
      </c>
      <c r="S422">
        <v>0</v>
      </c>
      <c r="T422">
        <v>0</v>
      </c>
      <c r="U422">
        <v>4</v>
      </c>
      <c r="V422">
        <v>5</v>
      </c>
    </row>
    <row r="423" spans="1:22" x14ac:dyDescent="0.25">
      <c r="A423">
        <v>421</v>
      </c>
      <c r="B423" t="s">
        <v>576</v>
      </c>
      <c r="C423" t="s">
        <v>17</v>
      </c>
      <c r="D423" t="str" cm="1">
        <f t="array" ref="D42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23">
        <v>25</v>
      </c>
      <c r="F42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3" s="2">
        <v>18</v>
      </c>
      <c r="H42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3" t="s">
        <v>118</v>
      </c>
      <c r="J423" t="s">
        <v>124</v>
      </c>
      <c r="K423">
        <v>16</v>
      </c>
      <c r="L423">
        <v>3</v>
      </c>
      <c r="M423">
        <v>0</v>
      </c>
      <c r="N423">
        <v>5</v>
      </c>
      <c r="O423">
        <f>players[[#This Row],[Goals]]+players[[#This Row],[Assists]]</f>
        <v>8</v>
      </c>
      <c r="P423" s="1">
        <f>IF(players[[#This Row],[Matches]]&gt;0,players[[#This Row],[Total Goal Involvement]]/players[[#This Row],[Matches]],0)</f>
        <v>0.5</v>
      </c>
      <c r="Q423" s="3">
        <f>players[[#This Row],[Total Goal Involvement per match]]/players[[#This Row],[Markey Value In Millions(£)]]</f>
        <v>2.7777777777777776E-2</v>
      </c>
      <c r="R423">
        <v>1</v>
      </c>
      <c r="S423">
        <v>0</v>
      </c>
      <c r="T423">
        <v>0</v>
      </c>
      <c r="U423">
        <v>8</v>
      </c>
      <c r="V423">
        <v>4</v>
      </c>
    </row>
    <row r="424" spans="1:22" x14ac:dyDescent="0.25">
      <c r="A424">
        <v>422</v>
      </c>
      <c r="B424" t="s">
        <v>577</v>
      </c>
      <c r="C424" t="s">
        <v>43</v>
      </c>
      <c r="D424" t="str" cm="1">
        <f t="array" ref="D42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24">
        <v>26</v>
      </c>
      <c r="F42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4" s="2">
        <v>18</v>
      </c>
      <c r="H42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4" t="s">
        <v>109</v>
      </c>
      <c r="J424" t="s">
        <v>578</v>
      </c>
      <c r="K424">
        <v>10</v>
      </c>
      <c r="L424">
        <v>0</v>
      </c>
      <c r="M424">
        <v>0</v>
      </c>
      <c r="N424">
        <v>0</v>
      </c>
      <c r="O424">
        <f>players[[#This Row],[Goals]]+players[[#This Row],[Assists]]</f>
        <v>0</v>
      </c>
      <c r="P424" s="1">
        <f>IF(players[[#This Row],[Matches]]&gt;0,players[[#This Row],[Total Goal Involvement]]/players[[#This Row],[Matches]],0)</f>
        <v>0</v>
      </c>
      <c r="Q424" s="3">
        <f>players[[#This Row],[Total Goal Involvement per match]]/players[[#This Row],[Markey Value In Millions(£)]]</f>
        <v>0</v>
      </c>
      <c r="R424">
        <v>3</v>
      </c>
      <c r="S424">
        <v>0</v>
      </c>
      <c r="T424">
        <v>0</v>
      </c>
      <c r="U424">
        <v>0</v>
      </c>
      <c r="V424">
        <v>2</v>
      </c>
    </row>
    <row r="425" spans="1:22" x14ac:dyDescent="0.25">
      <c r="A425">
        <v>423</v>
      </c>
      <c r="B425" t="s">
        <v>579</v>
      </c>
      <c r="C425" t="s">
        <v>71</v>
      </c>
      <c r="D425" t="str" cm="1">
        <f t="array" ref="D42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25">
        <v>27</v>
      </c>
      <c r="F42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5" s="2">
        <v>18</v>
      </c>
      <c r="H42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5" t="s">
        <v>296</v>
      </c>
      <c r="J425" t="s">
        <v>138</v>
      </c>
      <c r="K425">
        <v>6</v>
      </c>
      <c r="L425">
        <v>0</v>
      </c>
      <c r="M425">
        <v>0</v>
      </c>
      <c r="N425">
        <v>0</v>
      </c>
      <c r="O425">
        <f>players[[#This Row],[Goals]]+players[[#This Row],[Assists]]</f>
        <v>0</v>
      </c>
      <c r="P425" s="1">
        <f>IF(players[[#This Row],[Matches]]&gt;0,players[[#This Row],[Total Goal Involvement]]/players[[#This Row],[Matches]],0)</f>
        <v>0</v>
      </c>
      <c r="Q425" s="3">
        <f>players[[#This Row],[Total Goal Involvement per match]]/players[[#This Row],[Markey Value In Millions(£)]]</f>
        <v>0</v>
      </c>
      <c r="R425">
        <v>1</v>
      </c>
      <c r="S425">
        <v>0</v>
      </c>
      <c r="T425">
        <v>0</v>
      </c>
      <c r="U425">
        <v>1</v>
      </c>
      <c r="V425">
        <v>0</v>
      </c>
    </row>
    <row r="426" spans="1:22" x14ac:dyDescent="0.25">
      <c r="A426">
        <v>424</v>
      </c>
      <c r="B426" t="s">
        <v>580</v>
      </c>
      <c r="C426" t="s">
        <v>106</v>
      </c>
      <c r="D426" t="str" cm="1">
        <f t="array" ref="D42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26">
        <v>23</v>
      </c>
      <c r="F426" t="str">
        <f>IF(players[[#This Row],[Age]]&gt;34,"Veterans",IF(players[[#This Row],[Age]]&gt;29,"Experienced",IF(players[[#This Row],[Age]]&gt;23,"Career peak",IF(players[[#This Row],[Age]]&gt;19,"Young","Teenagers"))))</f>
        <v>Young</v>
      </c>
      <c r="G426" s="2">
        <v>18</v>
      </c>
      <c r="H42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6" t="s">
        <v>59</v>
      </c>
      <c r="J426" t="s">
        <v>416</v>
      </c>
      <c r="K426">
        <v>11</v>
      </c>
      <c r="L426">
        <v>0</v>
      </c>
      <c r="M426">
        <v>0</v>
      </c>
      <c r="N426">
        <v>1</v>
      </c>
      <c r="O426">
        <f>players[[#This Row],[Goals]]+players[[#This Row],[Assists]]</f>
        <v>1</v>
      </c>
      <c r="P426" s="1">
        <f>IF(players[[#This Row],[Matches]]&gt;0,players[[#This Row],[Total Goal Involvement]]/players[[#This Row],[Matches]],0)</f>
        <v>9.0909090909090912E-2</v>
      </c>
      <c r="Q426" s="3">
        <f>players[[#This Row],[Total Goal Involvement per match]]/players[[#This Row],[Markey Value In Millions(£)]]</f>
        <v>5.0505050505050509E-3</v>
      </c>
      <c r="R426">
        <v>2</v>
      </c>
      <c r="S426">
        <v>0</v>
      </c>
      <c r="T426">
        <v>0</v>
      </c>
      <c r="U426">
        <v>3</v>
      </c>
      <c r="V426">
        <v>2</v>
      </c>
    </row>
    <row r="427" spans="1:22" x14ac:dyDescent="0.25">
      <c r="A427">
        <v>425</v>
      </c>
      <c r="B427" t="s">
        <v>581</v>
      </c>
      <c r="C427" t="s">
        <v>99</v>
      </c>
      <c r="D427" t="str" cm="1">
        <f t="array" ref="D42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27">
        <v>24</v>
      </c>
      <c r="F42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7" s="2">
        <v>18</v>
      </c>
      <c r="H42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7" t="s">
        <v>59</v>
      </c>
      <c r="J427" t="s">
        <v>441</v>
      </c>
      <c r="K427">
        <v>11</v>
      </c>
      <c r="L427">
        <v>0</v>
      </c>
      <c r="M427">
        <v>0</v>
      </c>
      <c r="N427">
        <v>0</v>
      </c>
      <c r="O427">
        <f>players[[#This Row],[Goals]]+players[[#This Row],[Assists]]</f>
        <v>0</v>
      </c>
      <c r="P427" s="1">
        <f>IF(players[[#This Row],[Matches]]&gt;0,players[[#This Row],[Total Goal Involvement]]/players[[#This Row],[Matches]],0)</f>
        <v>0</v>
      </c>
      <c r="Q427" s="3">
        <f>players[[#This Row],[Total Goal Involvement per match]]/players[[#This Row],[Markey Value In Millions(£)]]</f>
        <v>0</v>
      </c>
      <c r="R427">
        <v>1</v>
      </c>
      <c r="S427">
        <v>0</v>
      </c>
      <c r="T427">
        <v>0</v>
      </c>
      <c r="U427">
        <v>0</v>
      </c>
      <c r="V427">
        <v>1</v>
      </c>
    </row>
    <row r="428" spans="1:22" x14ac:dyDescent="0.25">
      <c r="A428">
        <v>426</v>
      </c>
      <c r="B428" t="s">
        <v>582</v>
      </c>
      <c r="C428" t="s">
        <v>17</v>
      </c>
      <c r="D428" t="str" cm="1">
        <f t="array" ref="D42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28">
        <v>23</v>
      </c>
      <c r="F428" t="str">
        <f>IF(players[[#This Row],[Age]]&gt;34,"Veterans",IF(players[[#This Row],[Age]]&gt;29,"Experienced",IF(players[[#This Row],[Age]]&gt;23,"Career peak",IF(players[[#This Row],[Age]]&gt;19,"Young","Teenagers"))))</f>
        <v>Young</v>
      </c>
      <c r="G428" s="2">
        <v>18</v>
      </c>
      <c r="H42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8" t="s">
        <v>92</v>
      </c>
      <c r="J428" t="s">
        <v>102</v>
      </c>
      <c r="K428">
        <v>9</v>
      </c>
      <c r="L428">
        <v>2</v>
      </c>
      <c r="M428">
        <v>0</v>
      </c>
      <c r="N428">
        <v>1</v>
      </c>
      <c r="O428">
        <f>players[[#This Row],[Goals]]+players[[#This Row],[Assists]]</f>
        <v>3</v>
      </c>
      <c r="P428" s="1">
        <f>IF(players[[#This Row],[Matches]]&gt;0,players[[#This Row],[Total Goal Involvement]]/players[[#This Row],[Matches]],0)</f>
        <v>0.33333333333333331</v>
      </c>
      <c r="Q428" s="3">
        <f>players[[#This Row],[Total Goal Involvement per match]]/players[[#This Row],[Markey Value In Millions(£)]]</f>
        <v>1.8518518518518517E-2</v>
      </c>
      <c r="R428">
        <v>1</v>
      </c>
      <c r="S428">
        <v>0</v>
      </c>
      <c r="T428">
        <v>0</v>
      </c>
      <c r="U428">
        <v>7</v>
      </c>
      <c r="V428">
        <v>1</v>
      </c>
    </row>
    <row r="429" spans="1:22" x14ac:dyDescent="0.25">
      <c r="A429">
        <v>427</v>
      </c>
      <c r="B429" t="s">
        <v>583</v>
      </c>
      <c r="C429" t="s">
        <v>77</v>
      </c>
      <c r="D429" t="str" cm="1">
        <f t="array" ref="D42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29">
        <v>28</v>
      </c>
      <c r="F42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29" s="2">
        <v>18</v>
      </c>
      <c r="H42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29" t="s">
        <v>39</v>
      </c>
      <c r="J429" t="s">
        <v>41</v>
      </c>
      <c r="K429">
        <v>3</v>
      </c>
      <c r="L429">
        <v>1</v>
      </c>
      <c r="M429">
        <v>0</v>
      </c>
      <c r="N429">
        <v>0</v>
      </c>
      <c r="O429">
        <f>players[[#This Row],[Goals]]+players[[#This Row],[Assists]]</f>
        <v>1</v>
      </c>
      <c r="P429" s="1">
        <f>IF(players[[#This Row],[Matches]]&gt;0,players[[#This Row],[Total Goal Involvement]]/players[[#This Row],[Matches]],0)</f>
        <v>0.33333333333333331</v>
      </c>
      <c r="Q429" s="3">
        <f>players[[#This Row],[Total Goal Involvement per match]]/players[[#This Row],[Markey Value In Millions(£)]]</f>
        <v>1.8518518518518517E-2</v>
      </c>
      <c r="R429">
        <v>1</v>
      </c>
      <c r="S429">
        <v>0</v>
      </c>
      <c r="T429">
        <v>0</v>
      </c>
      <c r="U429">
        <v>1</v>
      </c>
      <c r="V429">
        <v>2</v>
      </c>
    </row>
    <row r="430" spans="1:22" x14ac:dyDescent="0.25">
      <c r="A430">
        <v>428</v>
      </c>
      <c r="B430" t="s">
        <v>584</v>
      </c>
      <c r="C430" t="s">
        <v>71</v>
      </c>
      <c r="D430" t="str" cm="1">
        <f t="array" ref="D43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30">
        <v>26</v>
      </c>
      <c r="F43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0" s="2">
        <v>18</v>
      </c>
      <c r="H43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0" t="s">
        <v>59</v>
      </c>
      <c r="J430" t="s">
        <v>441</v>
      </c>
      <c r="K430">
        <v>3</v>
      </c>
      <c r="L430">
        <v>0</v>
      </c>
      <c r="M430">
        <v>0</v>
      </c>
      <c r="N430">
        <v>0</v>
      </c>
      <c r="O430">
        <f>players[[#This Row],[Goals]]+players[[#This Row],[Assists]]</f>
        <v>0</v>
      </c>
      <c r="P430" s="1">
        <f>IF(players[[#This Row],[Matches]]&gt;0,players[[#This Row],[Total Goal Involvement]]/players[[#This Row],[Matches]],0)</f>
        <v>0</v>
      </c>
      <c r="Q430" s="3">
        <f>players[[#This Row],[Total Goal Involvement per match]]/players[[#This Row],[Markey Value In Millions(£)]]</f>
        <v>0</v>
      </c>
      <c r="R430">
        <v>2</v>
      </c>
      <c r="S430">
        <v>0</v>
      </c>
      <c r="T430">
        <v>0</v>
      </c>
      <c r="U430">
        <v>0</v>
      </c>
      <c r="V430">
        <v>0</v>
      </c>
    </row>
    <row r="431" spans="1:22" x14ac:dyDescent="0.25">
      <c r="A431">
        <v>429</v>
      </c>
      <c r="B431" t="s">
        <v>585</v>
      </c>
      <c r="C431" t="s">
        <v>69</v>
      </c>
      <c r="D431" t="str" cm="1">
        <f t="array" ref="D43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31">
        <v>24</v>
      </c>
      <c r="F43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1" s="2">
        <v>18</v>
      </c>
      <c r="H43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1" t="s">
        <v>183</v>
      </c>
      <c r="J431" t="s">
        <v>249</v>
      </c>
      <c r="K431">
        <v>14</v>
      </c>
      <c r="L431">
        <v>0</v>
      </c>
      <c r="M431">
        <v>0</v>
      </c>
      <c r="N431">
        <v>0</v>
      </c>
      <c r="O431">
        <f>players[[#This Row],[Goals]]+players[[#This Row],[Assists]]</f>
        <v>0</v>
      </c>
      <c r="P431" s="1">
        <f>IF(players[[#This Row],[Matches]]&gt;0,players[[#This Row],[Total Goal Involvement]]/players[[#This Row],[Matches]],0)</f>
        <v>0</v>
      </c>
      <c r="Q431" s="3">
        <f>players[[#This Row],[Total Goal Involvement per match]]/players[[#This Row],[Markey Value In Millions(£)]]</f>
        <v>0</v>
      </c>
      <c r="R431">
        <v>4</v>
      </c>
      <c r="S431">
        <v>0</v>
      </c>
      <c r="T431">
        <v>0</v>
      </c>
      <c r="U431">
        <v>1</v>
      </c>
      <c r="V431">
        <v>1</v>
      </c>
    </row>
    <row r="432" spans="1:22" x14ac:dyDescent="0.25">
      <c r="A432">
        <v>430</v>
      </c>
      <c r="B432" t="s">
        <v>586</v>
      </c>
      <c r="C432" t="s">
        <v>49</v>
      </c>
      <c r="D432" t="str" cm="1">
        <f t="array" ref="D43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32">
        <v>25</v>
      </c>
      <c r="F43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2" s="2">
        <v>18</v>
      </c>
      <c r="H43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2" t="s">
        <v>24</v>
      </c>
      <c r="J432" t="s">
        <v>25</v>
      </c>
      <c r="K432">
        <v>7</v>
      </c>
      <c r="L432">
        <v>0</v>
      </c>
      <c r="M432">
        <v>0</v>
      </c>
      <c r="N432">
        <v>1</v>
      </c>
      <c r="O432">
        <f>players[[#This Row],[Goals]]+players[[#This Row],[Assists]]</f>
        <v>1</v>
      </c>
      <c r="P432" s="1">
        <f>IF(players[[#This Row],[Matches]]&gt;0,players[[#This Row],[Total Goal Involvement]]/players[[#This Row],[Matches]],0)</f>
        <v>0.14285714285714285</v>
      </c>
      <c r="Q432" s="3">
        <f>players[[#This Row],[Total Goal Involvement per match]]/players[[#This Row],[Markey Value In Millions(£)]]</f>
        <v>7.9365079365079361E-3</v>
      </c>
      <c r="R432">
        <v>1</v>
      </c>
      <c r="S432">
        <v>0</v>
      </c>
      <c r="T432">
        <v>0</v>
      </c>
      <c r="U432">
        <v>2</v>
      </c>
      <c r="V432">
        <v>1</v>
      </c>
    </row>
    <row r="433" spans="1:22" x14ac:dyDescent="0.25">
      <c r="A433">
        <v>431</v>
      </c>
      <c r="B433" t="s">
        <v>587</v>
      </c>
      <c r="C433" t="s">
        <v>71</v>
      </c>
      <c r="D433" t="str" cm="1">
        <f t="array" ref="D43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33">
        <v>28</v>
      </c>
      <c r="F43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3" s="2">
        <v>18</v>
      </c>
      <c r="H43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3" t="s">
        <v>59</v>
      </c>
      <c r="J433" t="s">
        <v>219</v>
      </c>
      <c r="K433">
        <v>9</v>
      </c>
      <c r="L433">
        <v>1</v>
      </c>
      <c r="M433">
        <v>0</v>
      </c>
      <c r="N433">
        <v>0</v>
      </c>
      <c r="O433">
        <f>players[[#This Row],[Goals]]+players[[#This Row],[Assists]]</f>
        <v>1</v>
      </c>
      <c r="P433" s="1">
        <f>IF(players[[#This Row],[Matches]]&gt;0,players[[#This Row],[Total Goal Involvement]]/players[[#This Row],[Matches]],0)</f>
        <v>0.1111111111111111</v>
      </c>
      <c r="Q433" s="3">
        <f>players[[#This Row],[Total Goal Involvement per match]]/players[[#This Row],[Markey Value In Millions(£)]]</f>
        <v>6.1728395061728392E-3</v>
      </c>
      <c r="R433">
        <v>2</v>
      </c>
      <c r="S433">
        <v>0</v>
      </c>
      <c r="T433">
        <v>0</v>
      </c>
      <c r="U433">
        <v>0</v>
      </c>
      <c r="V433">
        <v>4</v>
      </c>
    </row>
    <row r="434" spans="1:22" x14ac:dyDescent="0.25">
      <c r="A434">
        <v>432</v>
      </c>
      <c r="B434" t="s">
        <v>588</v>
      </c>
      <c r="C434" t="s">
        <v>99</v>
      </c>
      <c r="D434" t="str" cm="1">
        <f t="array" ref="D43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34">
        <v>27</v>
      </c>
      <c r="F43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4" s="2">
        <v>18</v>
      </c>
      <c r="H43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4" t="s">
        <v>62</v>
      </c>
      <c r="J434" t="s">
        <v>277</v>
      </c>
      <c r="K434">
        <v>15</v>
      </c>
      <c r="L434">
        <v>0</v>
      </c>
      <c r="M434">
        <v>0</v>
      </c>
      <c r="N434">
        <v>0</v>
      </c>
      <c r="O434">
        <f>players[[#This Row],[Goals]]+players[[#This Row],[Assists]]</f>
        <v>0</v>
      </c>
      <c r="P434" s="1">
        <f>IF(players[[#This Row],[Matches]]&gt;0,players[[#This Row],[Total Goal Involvement]]/players[[#This Row],[Matches]],0)</f>
        <v>0</v>
      </c>
      <c r="Q434" s="3">
        <f>players[[#This Row],[Total Goal Involvement per match]]/players[[#This Row],[Markey Value In Millions(£)]]</f>
        <v>0</v>
      </c>
      <c r="R434">
        <v>1</v>
      </c>
      <c r="S434">
        <v>0</v>
      </c>
      <c r="T434">
        <v>0</v>
      </c>
      <c r="U434">
        <v>0</v>
      </c>
      <c r="V434">
        <v>0</v>
      </c>
    </row>
    <row r="435" spans="1:22" x14ac:dyDescent="0.25">
      <c r="A435">
        <v>433</v>
      </c>
      <c r="B435" t="s">
        <v>589</v>
      </c>
      <c r="C435" t="s">
        <v>17</v>
      </c>
      <c r="D435" t="str" cm="1">
        <f t="array" ref="D43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35">
        <v>25</v>
      </c>
      <c r="F43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5" s="2">
        <v>18</v>
      </c>
      <c r="H43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5" t="s">
        <v>18</v>
      </c>
      <c r="J435" t="s">
        <v>254</v>
      </c>
      <c r="K435">
        <v>6</v>
      </c>
      <c r="L435">
        <v>4</v>
      </c>
      <c r="M435">
        <v>0</v>
      </c>
      <c r="N435">
        <v>1</v>
      </c>
      <c r="O435">
        <f>players[[#This Row],[Goals]]+players[[#This Row],[Assists]]</f>
        <v>5</v>
      </c>
      <c r="P435" s="1">
        <f>IF(players[[#This Row],[Matches]]&gt;0,players[[#This Row],[Total Goal Involvement]]/players[[#This Row],[Matches]],0)</f>
        <v>0.83333333333333337</v>
      </c>
      <c r="Q435" s="3">
        <f>players[[#This Row],[Total Goal Involvement per match]]/players[[#This Row],[Markey Value In Millions(£)]]</f>
        <v>4.6296296296296301E-2</v>
      </c>
      <c r="R435">
        <v>0</v>
      </c>
      <c r="S435">
        <v>0</v>
      </c>
      <c r="T435">
        <v>0</v>
      </c>
      <c r="U435">
        <v>1</v>
      </c>
      <c r="V435">
        <v>1</v>
      </c>
    </row>
    <row r="436" spans="1:22" x14ac:dyDescent="0.25">
      <c r="A436">
        <v>434</v>
      </c>
      <c r="B436" t="s">
        <v>590</v>
      </c>
      <c r="C436" t="s">
        <v>43</v>
      </c>
      <c r="D436" t="str" cm="1">
        <f t="array" ref="D43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36">
        <v>28</v>
      </c>
      <c r="F43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6" s="2">
        <v>18</v>
      </c>
      <c r="H43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6" t="s">
        <v>47</v>
      </c>
      <c r="J436" t="s">
        <v>138</v>
      </c>
      <c r="K436">
        <v>5</v>
      </c>
      <c r="L436">
        <v>0</v>
      </c>
      <c r="M436">
        <v>0</v>
      </c>
      <c r="N436">
        <v>1</v>
      </c>
      <c r="O436">
        <f>players[[#This Row],[Goals]]+players[[#This Row],[Assists]]</f>
        <v>1</v>
      </c>
      <c r="P436" s="1">
        <f>IF(players[[#This Row],[Matches]]&gt;0,players[[#This Row],[Total Goal Involvement]]/players[[#This Row],[Matches]],0)</f>
        <v>0.2</v>
      </c>
      <c r="Q436" s="3">
        <f>players[[#This Row],[Total Goal Involvement per match]]/players[[#This Row],[Markey Value In Millions(£)]]</f>
        <v>1.1111111111111112E-2</v>
      </c>
      <c r="R436">
        <v>1</v>
      </c>
      <c r="S436">
        <v>0</v>
      </c>
      <c r="T436">
        <v>0</v>
      </c>
      <c r="U436">
        <v>4</v>
      </c>
      <c r="V436">
        <v>1</v>
      </c>
    </row>
    <row r="437" spans="1:22" x14ac:dyDescent="0.25">
      <c r="A437">
        <v>435</v>
      </c>
      <c r="B437" t="s">
        <v>591</v>
      </c>
      <c r="C437" t="s">
        <v>17</v>
      </c>
      <c r="D437" t="str" cm="1">
        <f t="array" ref="D43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37">
        <v>25</v>
      </c>
      <c r="F43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7" s="2">
        <v>18</v>
      </c>
      <c r="H43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7" t="s">
        <v>18</v>
      </c>
      <c r="J437" t="s">
        <v>416</v>
      </c>
      <c r="K437">
        <v>11</v>
      </c>
      <c r="L437">
        <v>4</v>
      </c>
      <c r="M437">
        <v>0</v>
      </c>
      <c r="N437">
        <v>0</v>
      </c>
      <c r="O437">
        <f>players[[#This Row],[Goals]]+players[[#This Row],[Assists]]</f>
        <v>4</v>
      </c>
      <c r="P437" s="1">
        <f>IF(players[[#This Row],[Matches]]&gt;0,players[[#This Row],[Total Goal Involvement]]/players[[#This Row],[Matches]],0)</f>
        <v>0.36363636363636365</v>
      </c>
      <c r="Q437" s="3">
        <f>players[[#This Row],[Total Goal Involvement per match]]/players[[#This Row],[Markey Value In Millions(£)]]</f>
        <v>2.0202020202020204E-2</v>
      </c>
      <c r="R437">
        <v>3</v>
      </c>
      <c r="S437">
        <v>0</v>
      </c>
      <c r="T437">
        <v>0</v>
      </c>
      <c r="U437">
        <v>2</v>
      </c>
      <c r="V437">
        <v>2</v>
      </c>
    </row>
    <row r="438" spans="1:22" x14ac:dyDescent="0.25">
      <c r="A438">
        <v>436</v>
      </c>
      <c r="B438" t="s">
        <v>592</v>
      </c>
      <c r="C438" t="s">
        <v>27</v>
      </c>
      <c r="D438" t="str" cm="1">
        <f t="array" ref="D43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38">
        <v>24</v>
      </c>
      <c r="F43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8" s="2">
        <v>18</v>
      </c>
      <c r="H43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8" t="s">
        <v>140</v>
      </c>
      <c r="J438" t="s">
        <v>283</v>
      </c>
      <c r="K438">
        <v>8</v>
      </c>
      <c r="L438">
        <v>0</v>
      </c>
      <c r="M438">
        <v>0</v>
      </c>
      <c r="N438">
        <v>3</v>
      </c>
      <c r="O438">
        <f>players[[#This Row],[Goals]]+players[[#This Row],[Assists]]</f>
        <v>3</v>
      </c>
      <c r="P438" s="1">
        <f>IF(players[[#This Row],[Matches]]&gt;0,players[[#This Row],[Total Goal Involvement]]/players[[#This Row],[Matches]],0)</f>
        <v>0.375</v>
      </c>
      <c r="Q438" s="3">
        <f>players[[#This Row],[Total Goal Involvement per match]]/players[[#This Row],[Markey Value In Millions(£)]]</f>
        <v>2.0833333333333332E-2</v>
      </c>
      <c r="R438">
        <v>0</v>
      </c>
      <c r="S438">
        <v>0</v>
      </c>
      <c r="T438">
        <v>0</v>
      </c>
      <c r="U438">
        <v>1</v>
      </c>
      <c r="V438">
        <v>5</v>
      </c>
    </row>
    <row r="439" spans="1:22" x14ac:dyDescent="0.25">
      <c r="A439">
        <v>437</v>
      </c>
      <c r="B439" t="s">
        <v>593</v>
      </c>
      <c r="C439" t="s">
        <v>99</v>
      </c>
      <c r="D439" t="str" cm="1">
        <f t="array" ref="D43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39">
        <v>26</v>
      </c>
      <c r="F43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39" s="2">
        <v>18</v>
      </c>
      <c r="H43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39" t="s">
        <v>59</v>
      </c>
      <c r="J439" t="s">
        <v>85</v>
      </c>
      <c r="K439">
        <v>15</v>
      </c>
      <c r="L439">
        <v>0</v>
      </c>
      <c r="M439">
        <v>0</v>
      </c>
      <c r="N439">
        <v>0</v>
      </c>
      <c r="O439">
        <f>players[[#This Row],[Goals]]+players[[#This Row],[Assists]]</f>
        <v>0</v>
      </c>
      <c r="P439" s="1">
        <f>IF(players[[#This Row],[Matches]]&gt;0,players[[#This Row],[Total Goal Involvement]]/players[[#This Row],[Matches]],0)</f>
        <v>0</v>
      </c>
      <c r="Q439" s="3">
        <f>players[[#This Row],[Total Goal Involvement per match]]/players[[#This Row],[Markey Value In Millions(£)]]</f>
        <v>0</v>
      </c>
      <c r="R439">
        <v>0</v>
      </c>
      <c r="S439">
        <v>0</v>
      </c>
      <c r="T439">
        <v>0</v>
      </c>
      <c r="U439">
        <v>0</v>
      </c>
      <c r="V439">
        <v>0</v>
      </c>
    </row>
    <row r="440" spans="1:22" x14ac:dyDescent="0.25">
      <c r="A440">
        <v>438</v>
      </c>
      <c r="B440" t="s">
        <v>594</v>
      </c>
      <c r="C440" t="s">
        <v>43</v>
      </c>
      <c r="D440" t="str" cm="1">
        <f t="array" ref="D44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40">
        <v>26</v>
      </c>
      <c r="F44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0" s="2">
        <v>18</v>
      </c>
      <c r="H44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0" t="s">
        <v>87</v>
      </c>
      <c r="J440" t="s">
        <v>188</v>
      </c>
      <c r="K440">
        <v>18</v>
      </c>
      <c r="L440">
        <v>2</v>
      </c>
      <c r="M440">
        <v>0</v>
      </c>
      <c r="N440">
        <v>1</v>
      </c>
      <c r="O440">
        <f>players[[#This Row],[Goals]]+players[[#This Row],[Assists]]</f>
        <v>3</v>
      </c>
      <c r="P440" s="1">
        <f>IF(players[[#This Row],[Matches]]&gt;0,players[[#This Row],[Total Goal Involvement]]/players[[#This Row],[Matches]],0)</f>
        <v>0.16666666666666666</v>
      </c>
      <c r="Q440" s="3">
        <f>players[[#This Row],[Total Goal Involvement per match]]/players[[#This Row],[Markey Value In Millions(£)]]</f>
        <v>9.2592592592592587E-3</v>
      </c>
      <c r="R440">
        <v>4</v>
      </c>
      <c r="S440">
        <v>0</v>
      </c>
      <c r="T440">
        <v>0</v>
      </c>
      <c r="U440">
        <v>3</v>
      </c>
      <c r="V440">
        <v>0</v>
      </c>
    </row>
    <row r="441" spans="1:22" x14ac:dyDescent="0.25">
      <c r="A441">
        <v>439</v>
      </c>
      <c r="B441" t="s">
        <v>595</v>
      </c>
      <c r="C441" t="s">
        <v>71</v>
      </c>
      <c r="D441" t="str" cm="1">
        <f t="array" ref="D44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41">
        <v>26</v>
      </c>
      <c r="F44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1" s="2">
        <v>18</v>
      </c>
      <c r="H44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1" t="s">
        <v>87</v>
      </c>
      <c r="J441" t="s">
        <v>141</v>
      </c>
      <c r="K441">
        <v>11</v>
      </c>
      <c r="L441">
        <v>0</v>
      </c>
      <c r="M441">
        <v>0</v>
      </c>
      <c r="N441">
        <v>0</v>
      </c>
      <c r="O441">
        <f>players[[#This Row],[Goals]]+players[[#This Row],[Assists]]</f>
        <v>0</v>
      </c>
      <c r="P441" s="1">
        <f>IF(players[[#This Row],[Matches]]&gt;0,players[[#This Row],[Total Goal Involvement]]/players[[#This Row],[Matches]],0)</f>
        <v>0</v>
      </c>
      <c r="Q441" s="3">
        <f>players[[#This Row],[Total Goal Involvement per match]]/players[[#This Row],[Markey Value In Millions(£)]]</f>
        <v>0</v>
      </c>
      <c r="R441">
        <v>1</v>
      </c>
      <c r="S441">
        <v>0</v>
      </c>
      <c r="T441">
        <v>0</v>
      </c>
      <c r="U441">
        <v>3</v>
      </c>
      <c r="V441">
        <v>1</v>
      </c>
    </row>
    <row r="442" spans="1:22" x14ac:dyDescent="0.25">
      <c r="A442">
        <v>440</v>
      </c>
      <c r="B442" t="s">
        <v>596</v>
      </c>
      <c r="C442" t="s">
        <v>49</v>
      </c>
      <c r="D442" t="str" cm="1">
        <f t="array" ref="D44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42">
        <v>26</v>
      </c>
      <c r="F44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2" s="2">
        <v>18</v>
      </c>
      <c r="H44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2" t="s">
        <v>50</v>
      </c>
      <c r="J442" t="s">
        <v>475</v>
      </c>
      <c r="K442">
        <v>18</v>
      </c>
      <c r="L442">
        <v>2</v>
      </c>
      <c r="M442">
        <v>0</v>
      </c>
      <c r="N442">
        <v>4</v>
      </c>
      <c r="O442">
        <f>players[[#This Row],[Goals]]+players[[#This Row],[Assists]]</f>
        <v>6</v>
      </c>
      <c r="P442" s="1">
        <f>IF(players[[#This Row],[Matches]]&gt;0,players[[#This Row],[Total Goal Involvement]]/players[[#This Row],[Matches]],0)</f>
        <v>0.33333333333333331</v>
      </c>
      <c r="Q442" s="3">
        <f>players[[#This Row],[Total Goal Involvement per match]]/players[[#This Row],[Markey Value In Millions(£)]]</f>
        <v>1.8518518518518517E-2</v>
      </c>
      <c r="R442">
        <v>4</v>
      </c>
      <c r="S442">
        <v>0</v>
      </c>
      <c r="T442">
        <v>0</v>
      </c>
      <c r="U442">
        <v>4</v>
      </c>
      <c r="V442">
        <v>3</v>
      </c>
    </row>
    <row r="443" spans="1:22" x14ac:dyDescent="0.25">
      <c r="A443">
        <v>441</v>
      </c>
      <c r="B443" t="s">
        <v>597</v>
      </c>
      <c r="C443" t="s">
        <v>17</v>
      </c>
      <c r="D443" t="str" cm="1">
        <f t="array" ref="D44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43">
        <v>27</v>
      </c>
      <c r="F44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3" s="2">
        <v>18</v>
      </c>
      <c r="H44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3" t="s">
        <v>135</v>
      </c>
      <c r="J443" t="s">
        <v>358</v>
      </c>
      <c r="K443">
        <v>9</v>
      </c>
      <c r="L443">
        <v>2</v>
      </c>
      <c r="M443">
        <v>0</v>
      </c>
      <c r="N443">
        <v>0</v>
      </c>
      <c r="O443">
        <f>players[[#This Row],[Goals]]+players[[#This Row],[Assists]]</f>
        <v>2</v>
      </c>
      <c r="P443" s="1">
        <f>IF(players[[#This Row],[Matches]]&gt;0,players[[#This Row],[Total Goal Involvement]]/players[[#This Row],[Matches]],0)</f>
        <v>0.22222222222222221</v>
      </c>
      <c r="Q443" s="3">
        <f>players[[#This Row],[Total Goal Involvement per match]]/players[[#This Row],[Markey Value In Millions(£)]]</f>
        <v>1.2345679012345678E-2</v>
      </c>
      <c r="R443">
        <v>0</v>
      </c>
      <c r="S443">
        <v>0</v>
      </c>
      <c r="T443">
        <v>0</v>
      </c>
      <c r="U443">
        <v>3</v>
      </c>
      <c r="V443">
        <v>3</v>
      </c>
    </row>
    <row r="444" spans="1:22" x14ac:dyDescent="0.25">
      <c r="A444">
        <v>442</v>
      </c>
      <c r="B444" t="s">
        <v>598</v>
      </c>
      <c r="C444" t="s">
        <v>69</v>
      </c>
      <c r="D444" t="str" cm="1">
        <f t="array" ref="D44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44">
        <v>26</v>
      </c>
      <c r="F44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4" s="2">
        <v>18</v>
      </c>
      <c r="H44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4" t="s">
        <v>59</v>
      </c>
      <c r="J444" t="s">
        <v>447</v>
      </c>
      <c r="K444">
        <v>8</v>
      </c>
      <c r="L444">
        <v>0</v>
      </c>
      <c r="M444">
        <v>1</v>
      </c>
      <c r="N444">
        <v>1</v>
      </c>
      <c r="O444">
        <f>players[[#This Row],[Goals]]+players[[#This Row],[Assists]]</f>
        <v>1</v>
      </c>
      <c r="P444" s="1">
        <f>IF(players[[#This Row],[Matches]]&gt;0,players[[#This Row],[Total Goal Involvement]]/players[[#This Row],[Matches]],0)</f>
        <v>0.125</v>
      </c>
      <c r="Q444" s="3">
        <f>players[[#This Row],[Total Goal Involvement per match]]/players[[#This Row],[Markey Value In Millions(£)]]</f>
        <v>6.9444444444444441E-3</v>
      </c>
      <c r="R444">
        <v>0</v>
      </c>
      <c r="S444">
        <v>0</v>
      </c>
      <c r="T444">
        <v>0</v>
      </c>
      <c r="U444">
        <v>0</v>
      </c>
      <c r="V444">
        <v>0</v>
      </c>
    </row>
    <row r="445" spans="1:22" x14ac:dyDescent="0.25">
      <c r="A445">
        <v>443</v>
      </c>
      <c r="B445" t="s">
        <v>599</v>
      </c>
      <c r="C445" t="s">
        <v>37</v>
      </c>
      <c r="D445" t="str" cm="1">
        <f t="array" ref="D44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45">
        <v>25</v>
      </c>
      <c r="F44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5" s="2">
        <v>18</v>
      </c>
      <c r="H44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5" t="s">
        <v>50</v>
      </c>
      <c r="J445" t="s">
        <v>22</v>
      </c>
      <c r="K445">
        <v>13</v>
      </c>
      <c r="L445">
        <v>2</v>
      </c>
      <c r="M445">
        <v>0</v>
      </c>
      <c r="N445">
        <v>3</v>
      </c>
      <c r="O445">
        <f>players[[#This Row],[Goals]]+players[[#This Row],[Assists]]</f>
        <v>5</v>
      </c>
      <c r="P445" s="1">
        <f>IF(players[[#This Row],[Matches]]&gt;0,players[[#This Row],[Total Goal Involvement]]/players[[#This Row],[Matches]],0)</f>
        <v>0.38461538461538464</v>
      </c>
      <c r="Q445" s="3">
        <f>players[[#This Row],[Total Goal Involvement per match]]/players[[#This Row],[Markey Value In Millions(£)]]</f>
        <v>2.1367521367521368E-2</v>
      </c>
      <c r="R445">
        <v>0</v>
      </c>
      <c r="S445">
        <v>0</v>
      </c>
      <c r="T445">
        <v>0</v>
      </c>
      <c r="U445">
        <v>3</v>
      </c>
      <c r="V445">
        <v>7</v>
      </c>
    </row>
    <row r="446" spans="1:22" x14ac:dyDescent="0.25">
      <c r="A446">
        <v>444</v>
      </c>
      <c r="B446" t="s">
        <v>600</v>
      </c>
      <c r="C446" t="s">
        <v>49</v>
      </c>
      <c r="D446" t="str" cm="1">
        <f t="array" ref="D44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46">
        <v>27</v>
      </c>
      <c r="F44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6" s="2">
        <v>18</v>
      </c>
      <c r="H44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6" t="s">
        <v>18</v>
      </c>
      <c r="J446" t="s">
        <v>141</v>
      </c>
      <c r="K446">
        <v>6</v>
      </c>
      <c r="L446">
        <v>0</v>
      </c>
      <c r="M446">
        <v>0</v>
      </c>
      <c r="N446">
        <v>0</v>
      </c>
      <c r="O446">
        <f>players[[#This Row],[Goals]]+players[[#This Row],[Assists]]</f>
        <v>0</v>
      </c>
      <c r="P446" s="1">
        <f>IF(players[[#This Row],[Matches]]&gt;0,players[[#This Row],[Total Goal Involvement]]/players[[#This Row],[Matches]],0)</f>
        <v>0</v>
      </c>
      <c r="Q446" s="3">
        <f>players[[#This Row],[Total Goal Involvement per match]]/players[[#This Row],[Markey Value In Millions(£)]]</f>
        <v>0</v>
      </c>
      <c r="R446">
        <v>2</v>
      </c>
      <c r="S446">
        <v>0</v>
      </c>
      <c r="T446">
        <v>0</v>
      </c>
      <c r="U446">
        <v>6</v>
      </c>
      <c r="V446">
        <v>1</v>
      </c>
    </row>
    <row r="447" spans="1:22" x14ac:dyDescent="0.25">
      <c r="A447">
        <v>445</v>
      </c>
      <c r="B447" t="s">
        <v>601</v>
      </c>
      <c r="C447" t="s">
        <v>106</v>
      </c>
      <c r="D447" t="str" cm="1">
        <f t="array" ref="D44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47">
        <v>29</v>
      </c>
      <c r="F44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7" s="2">
        <v>18</v>
      </c>
      <c r="H44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7" t="s">
        <v>92</v>
      </c>
      <c r="J447" t="s">
        <v>361</v>
      </c>
      <c r="K447">
        <v>13</v>
      </c>
      <c r="L447">
        <v>2</v>
      </c>
      <c r="M447">
        <v>0</v>
      </c>
      <c r="N447">
        <v>5</v>
      </c>
      <c r="O447">
        <f>players[[#This Row],[Goals]]+players[[#This Row],[Assists]]</f>
        <v>7</v>
      </c>
      <c r="P447" s="1">
        <f>IF(players[[#This Row],[Matches]]&gt;0,players[[#This Row],[Total Goal Involvement]]/players[[#This Row],[Matches]],0)</f>
        <v>0.53846153846153844</v>
      </c>
      <c r="Q447" s="3">
        <f>players[[#This Row],[Total Goal Involvement per match]]/players[[#This Row],[Markey Value In Millions(£)]]</f>
        <v>2.9914529914529912E-2</v>
      </c>
      <c r="R447">
        <v>1</v>
      </c>
      <c r="S447">
        <v>0</v>
      </c>
      <c r="T447">
        <v>0</v>
      </c>
      <c r="U447">
        <v>1</v>
      </c>
      <c r="V447">
        <v>2</v>
      </c>
    </row>
    <row r="448" spans="1:22" x14ac:dyDescent="0.25">
      <c r="A448">
        <v>446</v>
      </c>
      <c r="B448" t="s">
        <v>602</v>
      </c>
      <c r="C448" t="s">
        <v>69</v>
      </c>
      <c r="D448" t="str" cm="1">
        <f t="array" ref="D44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48">
        <v>30</v>
      </c>
      <c r="F448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48" s="2">
        <v>18</v>
      </c>
      <c r="H44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8" t="s">
        <v>39</v>
      </c>
      <c r="J448" t="s">
        <v>88</v>
      </c>
      <c r="K448">
        <v>13</v>
      </c>
      <c r="L448">
        <v>0</v>
      </c>
      <c r="M448">
        <v>0</v>
      </c>
      <c r="N448">
        <v>1</v>
      </c>
      <c r="O448">
        <f>players[[#This Row],[Goals]]+players[[#This Row],[Assists]]</f>
        <v>1</v>
      </c>
      <c r="P448" s="1">
        <f>IF(players[[#This Row],[Matches]]&gt;0,players[[#This Row],[Total Goal Involvement]]/players[[#This Row],[Matches]],0)</f>
        <v>7.6923076923076927E-2</v>
      </c>
      <c r="Q448" s="3">
        <f>players[[#This Row],[Total Goal Involvement per match]]/players[[#This Row],[Markey Value In Millions(£)]]</f>
        <v>4.2735042735042739E-3</v>
      </c>
      <c r="R448">
        <v>4</v>
      </c>
      <c r="S448">
        <v>0</v>
      </c>
      <c r="T448">
        <v>0</v>
      </c>
      <c r="U448">
        <v>0</v>
      </c>
      <c r="V448">
        <v>1</v>
      </c>
    </row>
    <row r="449" spans="1:22" x14ac:dyDescent="0.25">
      <c r="A449">
        <v>447</v>
      </c>
      <c r="B449" t="s">
        <v>603</v>
      </c>
      <c r="C449" t="s">
        <v>30</v>
      </c>
      <c r="D449" t="str" cm="1">
        <f t="array" ref="D44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49">
        <v>26</v>
      </c>
      <c r="F44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49" s="2">
        <v>18</v>
      </c>
      <c r="H44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49" t="s">
        <v>210</v>
      </c>
      <c r="J449" t="s">
        <v>252</v>
      </c>
      <c r="K449">
        <v>5</v>
      </c>
      <c r="L449">
        <v>0</v>
      </c>
      <c r="M449">
        <v>0</v>
      </c>
      <c r="N449">
        <v>0</v>
      </c>
      <c r="O449">
        <f>players[[#This Row],[Goals]]+players[[#This Row],[Assists]]</f>
        <v>0</v>
      </c>
      <c r="P449" s="1">
        <f>IF(players[[#This Row],[Matches]]&gt;0,players[[#This Row],[Total Goal Involvement]]/players[[#This Row],[Matches]],0)</f>
        <v>0</v>
      </c>
      <c r="Q449" s="3">
        <f>players[[#This Row],[Total Goal Involvement per match]]/players[[#This Row],[Markey Value In Millions(£)]]</f>
        <v>0</v>
      </c>
      <c r="R449">
        <v>0</v>
      </c>
      <c r="S449">
        <v>0</v>
      </c>
      <c r="T449">
        <v>0</v>
      </c>
      <c r="U449">
        <v>4</v>
      </c>
      <c r="V449">
        <v>1</v>
      </c>
    </row>
    <row r="450" spans="1:22" x14ac:dyDescent="0.25">
      <c r="A450">
        <v>448</v>
      </c>
      <c r="B450" t="s">
        <v>604</v>
      </c>
      <c r="C450" t="s">
        <v>30</v>
      </c>
      <c r="D450" t="str" cm="1">
        <f t="array" ref="D45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50">
        <v>29</v>
      </c>
      <c r="F45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50" s="2">
        <v>18</v>
      </c>
      <c r="H45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0" t="s">
        <v>62</v>
      </c>
      <c r="J450" t="s">
        <v>116</v>
      </c>
      <c r="K450">
        <v>16</v>
      </c>
      <c r="L450">
        <v>4</v>
      </c>
      <c r="M450">
        <v>0</v>
      </c>
      <c r="N450">
        <v>2</v>
      </c>
      <c r="O450">
        <f>players[[#This Row],[Goals]]+players[[#This Row],[Assists]]</f>
        <v>6</v>
      </c>
      <c r="P450" s="1">
        <f>IF(players[[#This Row],[Matches]]&gt;0,players[[#This Row],[Total Goal Involvement]]/players[[#This Row],[Matches]],0)</f>
        <v>0.375</v>
      </c>
      <c r="Q450" s="3">
        <f>players[[#This Row],[Total Goal Involvement per match]]/players[[#This Row],[Markey Value In Millions(£)]]</f>
        <v>2.0833333333333332E-2</v>
      </c>
      <c r="R450">
        <v>5</v>
      </c>
      <c r="S450">
        <v>0</v>
      </c>
      <c r="T450">
        <v>0</v>
      </c>
      <c r="U450">
        <v>11</v>
      </c>
      <c r="V450">
        <v>3</v>
      </c>
    </row>
    <row r="451" spans="1:22" x14ac:dyDescent="0.25">
      <c r="A451">
        <v>449</v>
      </c>
      <c r="B451" t="s">
        <v>605</v>
      </c>
      <c r="C451" t="s">
        <v>27</v>
      </c>
      <c r="D451" t="str" cm="1">
        <f t="array" ref="D45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51">
        <v>30</v>
      </c>
      <c r="F451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51" s="2">
        <v>18</v>
      </c>
      <c r="H45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1" t="s">
        <v>221</v>
      </c>
      <c r="J451" t="s">
        <v>165</v>
      </c>
      <c r="K451">
        <v>17</v>
      </c>
      <c r="L451">
        <v>4</v>
      </c>
      <c r="M451">
        <v>0</v>
      </c>
      <c r="N451">
        <v>1</v>
      </c>
      <c r="O451">
        <f>players[[#This Row],[Goals]]+players[[#This Row],[Assists]]</f>
        <v>5</v>
      </c>
      <c r="P451" s="1">
        <f>IF(players[[#This Row],[Matches]]&gt;0,players[[#This Row],[Total Goal Involvement]]/players[[#This Row],[Matches]],0)</f>
        <v>0.29411764705882354</v>
      </c>
      <c r="Q451" s="3">
        <f>players[[#This Row],[Total Goal Involvement per match]]/players[[#This Row],[Markey Value In Millions(£)]]</f>
        <v>1.6339869281045753E-2</v>
      </c>
      <c r="R451">
        <v>0</v>
      </c>
      <c r="S451">
        <v>0</v>
      </c>
      <c r="T451">
        <v>0</v>
      </c>
      <c r="U451">
        <v>6</v>
      </c>
      <c r="V451">
        <v>7</v>
      </c>
    </row>
    <row r="452" spans="1:22" x14ac:dyDescent="0.25">
      <c r="A452">
        <v>450</v>
      </c>
      <c r="B452" t="s">
        <v>606</v>
      </c>
      <c r="C452" t="s">
        <v>30</v>
      </c>
      <c r="D452" t="str" cm="1">
        <f t="array" ref="D45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52">
        <v>29</v>
      </c>
      <c r="F45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52" s="2">
        <v>18</v>
      </c>
      <c r="H45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2" t="s">
        <v>59</v>
      </c>
      <c r="J452" t="s">
        <v>85</v>
      </c>
      <c r="K452">
        <v>16</v>
      </c>
      <c r="L452">
        <v>0</v>
      </c>
      <c r="M452">
        <v>0</v>
      </c>
      <c r="N452">
        <v>1</v>
      </c>
      <c r="O452">
        <f>players[[#This Row],[Goals]]+players[[#This Row],[Assists]]</f>
        <v>1</v>
      </c>
      <c r="P452" s="1">
        <f>IF(players[[#This Row],[Matches]]&gt;0,players[[#This Row],[Total Goal Involvement]]/players[[#This Row],[Matches]],0)</f>
        <v>6.25E-2</v>
      </c>
      <c r="Q452" s="3">
        <f>players[[#This Row],[Total Goal Involvement per match]]/players[[#This Row],[Markey Value In Millions(£)]]</f>
        <v>3.472222222222222E-3</v>
      </c>
      <c r="R452">
        <v>2</v>
      </c>
      <c r="S452">
        <v>0</v>
      </c>
      <c r="T452">
        <v>0</v>
      </c>
      <c r="U452">
        <v>6</v>
      </c>
      <c r="V452">
        <v>9</v>
      </c>
    </row>
    <row r="453" spans="1:22" x14ac:dyDescent="0.25">
      <c r="A453">
        <v>451</v>
      </c>
      <c r="B453" t="s">
        <v>607</v>
      </c>
      <c r="C453" t="s">
        <v>69</v>
      </c>
      <c r="D453" t="str" cm="1">
        <f t="array" ref="D45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53">
        <v>31</v>
      </c>
      <c r="F453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53" s="2">
        <v>18</v>
      </c>
      <c r="H45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3" t="s">
        <v>24</v>
      </c>
      <c r="J453" t="s">
        <v>65</v>
      </c>
      <c r="K453">
        <v>15</v>
      </c>
      <c r="L453">
        <v>0</v>
      </c>
      <c r="M453">
        <v>0</v>
      </c>
      <c r="N453">
        <v>0</v>
      </c>
      <c r="O453">
        <f>players[[#This Row],[Goals]]+players[[#This Row],[Assists]]</f>
        <v>0</v>
      </c>
      <c r="P453" s="1">
        <f>IF(players[[#This Row],[Matches]]&gt;0,players[[#This Row],[Total Goal Involvement]]/players[[#This Row],[Matches]],0)</f>
        <v>0</v>
      </c>
      <c r="Q453" s="3">
        <f>players[[#This Row],[Total Goal Involvement per match]]/players[[#This Row],[Markey Value In Millions(£)]]</f>
        <v>0</v>
      </c>
      <c r="R453">
        <v>1</v>
      </c>
      <c r="S453">
        <v>0</v>
      </c>
      <c r="T453">
        <v>0</v>
      </c>
      <c r="U453">
        <v>3</v>
      </c>
      <c r="V453">
        <v>6</v>
      </c>
    </row>
    <row r="454" spans="1:22" x14ac:dyDescent="0.25">
      <c r="A454">
        <v>452</v>
      </c>
      <c r="B454" t="s">
        <v>608</v>
      </c>
      <c r="C454" t="s">
        <v>37</v>
      </c>
      <c r="D454" t="str" cm="1">
        <f t="array" ref="D45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54">
        <v>30</v>
      </c>
      <c r="F454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54" s="2">
        <v>18</v>
      </c>
      <c r="H45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4" t="s">
        <v>296</v>
      </c>
      <c r="J454" t="s">
        <v>609</v>
      </c>
      <c r="K454">
        <v>3</v>
      </c>
      <c r="L454">
        <v>1</v>
      </c>
      <c r="M454">
        <v>0</v>
      </c>
      <c r="N454">
        <v>1</v>
      </c>
      <c r="O454">
        <f>players[[#This Row],[Goals]]+players[[#This Row],[Assists]]</f>
        <v>2</v>
      </c>
      <c r="P454" s="1">
        <f>IF(players[[#This Row],[Matches]]&gt;0,players[[#This Row],[Total Goal Involvement]]/players[[#This Row],[Matches]],0)</f>
        <v>0.66666666666666663</v>
      </c>
      <c r="Q454" s="3">
        <f>players[[#This Row],[Total Goal Involvement per match]]/players[[#This Row],[Markey Value In Millions(£)]]</f>
        <v>3.7037037037037035E-2</v>
      </c>
      <c r="R454">
        <v>0</v>
      </c>
      <c r="S454">
        <v>0</v>
      </c>
      <c r="T454">
        <v>0</v>
      </c>
      <c r="U454">
        <v>0</v>
      </c>
      <c r="V454">
        <v>1</v>
      </c>
    </row>
    <row r="455" spans="1:22" x14ac:dyDescent="0.25">
      <c r="A455">
        <v>453</v>
      </c>
      <c r="B455" t="s">
        <v>610</v>
      </c>
      <c r="C455" t="s">
        <v>27</v>
      </c>
      <c r="D455" t="str" cm="1">
        <f t="array" ref="D45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55">
        <v>28</v>
      </c>
      <c r="F45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55" s="2">
        <v>18</v>
      </c>
      <c r="H45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5" t="s">
        <v>50</v>
      </c>
      <c r="J455" t="s">
        <v>19</v>
      </c>
      <c r="K455">
        <v>14</v>
      </c>
      <c r="L455">
        <v>2</v>
      </c>
      <c r="M455">
        <v>0</v>
      </c>
      <c r="N455">
        <v>2</v>
      </c>
      <c r="O455">
        <f>players[[#This Row],[Goals]]+players[[#This Row],[Assists]]</f>
        <v>4</v>
      </c>
      <c r="P455" s="1">
        <f>IF(players[[#This Row],[Matches]]&gt;0,players[[#This Row],[Total Goal Involvement]]/players[[#This Row],[Matches]],0)</f>
        <v>0.2857142857142857</v>
      </c>
      <c r="Q455" s="3">
        <f>players[[#This Row],[Total Goal Involvement per match]]/players[[#This Row],[Markey Value In Millions(£)]]</f>
        <v>1.5873015873015872E-2</v>
      </c>
      <c r="R455">
        <v>1</v>
      </c>
      <c r="S455">
        <v>0</v>
      </c>
      <c r="T455">
        <v>0</v>
      </c>
      <c r="U455">
        <v>8</v>
      </c>
      <c r="V455">
        <v>5</v>
      </c>
    </row>
    <row r="456" spans="1:22" x14ac:dyDescent="0.25">
      <c r="A456">
        <v>454</v>
      </c>
      <c r="B456" t="s">
        <v>611</v>
      </c>
      <c r="C456" t="s">
        <v>37</v>
      </c>
      <c r="D456" t="str" cm="1">
        <f t="array" ref="D45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56">
        <v>29</v>
      </c>
      <c r="F45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56" s="2">
        <v>18</v>
      </c>
      <c r="H45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6" t="s">
        <v>39</v>
      </c>
      <c r="J456" t="s">
        <v>45</v>
      </c>
      <c r="K456">
        <v>11</v>
      </c>
      <c r="L456">
        <v>1</v>
      </c>
      <c r="M456">
        <v>0</v>
      </c>
      <c r="N456">
        <v>0</v>
      </c>
      <c r="O456">
        <f>players[[#This Row],[Goals]]+players[[#This Row],[Assists]]</f>
        <v>1</v>
      </c>
      <c r="P456" s="1">
        <f>IF(players[[#This Row],[Matches]]&gt;0,players[[#This Row],[Total Goal Involvement]]/players[[#This Row],[Matches]],0)</f>
        <v>9.0909090909090912E-2</v>
      </c>
      <c r="Q456" s="3">
        <f>players[[#This Row],[Total Goal Involvement per match]]/players[[#This Row],[Markey Value In Millions(£)]]</f>
        <v>5.0505050505050509E-3</v>
      </c>
      <c r="R456">
        <v>1</v>
      </c>
      <c r="S456">
        <v>0</v>
      </c>
      <c r="T456">
        <v>0</v>
      </c>
      <c r="U456">
        <v>7</v>
      </c>
      <c r="V456">
        <v>4</v>
      </c>
    </row>
    <row r="457" spans="1:22" x14ac:dyDescent="0.25">
      <c r="A457">
        <v>455</v>
      </c>
      <c r="B457" t="s">
        <v>612</v>
      </c>
      <c r="C457" t="s">
        <v>77</v>
      </c>
      <c r="D457" t="str" cm="1">
        <f t="array" ref="D45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57">
        <v>30</v>
      </c>
      <c r="F457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57" s="2">
        <v>18</v>
      </c>
      <c r="H45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7" t="s">
        <v>39</v>
      </c>
      <c r="J457" t="s">
        <v>88</v>
      </c>
      <c r="K457">
        <v>15</v>
      </c>
      <c r="L457">
        <v>1</v>
      </c>
      <c r="M457">
        <v>0</v>
      </c>
      <c r="N457">
        <v>1</v>
      </c>
      <c r="O457">
        <f>players[[#This Row],[Goals]]+players[[#This Row],[Assists]]</f>
        <v>2</v>
      </c>
      <c r="P457" s="1">
        <f>IF(players[[#This Row],[Matches]]&gt;0,players[[#This Row],[Total Goal Involvement]]/players[[#This Row],[Matches]],0)</f>
        <v>0.13333333333333333</v>
      </c>
      <c r="Q457" s="3">
        <f>players[[#This Row],[Total Goal Involvement per match]]/players[[#This Row],[Markey Value In Millions(£)]]</f>
        <v>7.4074074074074077E-3</v>
      </c>
      <c r="R457">
        <v>1</v>
      </c>
      <c r="S457">
        <v>0</v>
      </c>
      <c r="T457">
        <v>0</v>
      </c>
      <c r="U457">
        <v>3</v>
      </c>
      <c r="V457">
        <v>3</v>
      </c>
    </row>
    <row r="458" spans="1:22" x14ac:dyDescent="0.25">
      <c r="A458">
        <v>456</v>
      </c>
      <c r="B458" t="s">
        <v>613</v>
      </c>
      <c r="C458" t="s">
        <v>37</v>
      </c>
      <c r="D458" t="str" cm="1">
        <f t="array" ref="D45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58">
        <v>30</v>
      </c>
      <c r="F458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58" s="2">
        <v>18</v>
      </c>
      <c r="H45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8" t="s">
        <v>59</v>
      </c>
      <c r="J458" t="s">
        <v>447</v>
      </c>
      <c r="K458">
        <v>15</v>
      </c>
      <c r="L458">
        <v>1</v>
      </c>
      <c r="M458">
        <v>0</v>
      </c>
      <c r="N458">
        <v>3</v>
      </c>
      <c r="O458">
        <f>players[[#This Row],[Goals]]+players[[#This Row],[Assists]]</f>
        <v>4</v>
      </c>
      <c r="P458" s="1">
        <f>IF(players[[#This Row],[Matches]]&gt;0,players[[#This Row],[Total Goal Involvement]]/players[[#This Row],[Matches]],0)</f>
        <v>0.26666666666666666</v>
      </c>
      <c r="Q458" s="3">
        <f>players[[#This Row],[Total Goal Involvement per match]]/players[[#This Row],[Markey Value In Millions(£)]]</f>
        <v>1.4814814814814815E-2</v>
      </c>
      <c r="R458">
        <v>1</v>
      </c>
      <c r="S458">
        <v>0</v>
      </c>
      <c r="T458">
        <v>0</v>
      </c>
      <c r="U458">
        <v>3</v>
      </c>
      <c r="V458">
        <v>7</v>
      </c>
    </row>
    <row r="459" spans="1:22" x14ac:dyDescent="0.25">
      <c r="A459">
        <v>457</v>
      </c>
      <c r="B459" t="s">
        <v>614</v>
      </c>
      <c r="C459" t="s">
        <v>43</v>
      </c>
      <c r="D459" t="str" cm="1">
        <f t="array" ref="D45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59">
        <v>31</v>
      </c>
      <c r="F459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59" s="2">
        <v>18</v>
      </c>
      <c r="H45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59" t="s">
        <v>24</v>
      </c>
      <c r="J459" t="s">
        <v>32</v>
      </c>
      <c r="K459">
        <v>15</v>
      </c>
      <c r="L459">
        <v>2</v>
      </c>
      <c r="M459">
        <v>0</v>
      </c>
      <c r="N459">
        <v>2</v>
      </c>
      <c r="O459">
        <f>players[[#This Row],[Goals]]+players[[#This Row],[Assists]]</f>
        <v>4</v>
      </c>
      <c r="P459" s="1">
        <f>IF(players[[#This Row],[Matches]]&gt;0,players[[#This Row],[Total Goal Involvement]]/players[[#This Row],[Matches]],0)</f>
        <v>0.26666666666666666</v>
      </c>
      <c r="Q459" s="3">
        <f>players[[#This Row],[Total Goal Involvement per match]]/players[[#This Row],[Markey Value In Millions(£)]]</f>
        <v>1.4814814814814815E-2</v>
      </c>
      <c r="R459">
        <v>1</v>
      </c>
      <c r="S459">
        <v>0</v>
      </c>
      <c r="T459">
        <v>0</v>
      </c>
      <c r="U459">
        <v>2</v>
      </c>
      <c r="V459">
        <v>4</v>
      </c>
    </row>
    <row r="460" spans="1:22" x14ac:dyDescent="0.25">
      <c r="A460">
        <v>458</v>
      </c>
      <c r="B460" t="s">
        <v>615</v>
      </c>
      <c r="C460" t="s">
        <v>30</v>
      </c>
      <c r="D460" t="str" cm="1">
        <f t="array" ref="D46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60">
        <v>33</v>
      </c>
      <c r="F460" t="str">
        <f>IF(players[[#This Row],[Age]]&gt;34,"Veterans",IF(players[[#This Row],[Age]]&gt;29,"Experienced",IF(players[[#This Row],[Age]]&gt;23,"Career peak",IF(players[[#This Row],[Age]]&gt;19,"Young","Teenagers"))))</f>
        <v>Experienced</v>
      </c>
      <c r="G460" s="2">
        <v>18</v>
      </c>
      <c r="H46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0" t="s">
        <v>62</v>
      </c>
      <c r="J460" t="s">
        <v>19</v>
      </c>
      <c r="K460">
        <v>9</v>
      </c>
      <c r="L460">
        <v>2</v>
      </c>
      <c r="M460">
        <v>0</v>
      </c>
      <c r="N460">
        <v>3</v>
      </c>
      <c r="O460">
        <f>players[[#This Row],[Goals]]+players[[#This Row],[Assists]]</f>
        <v>5</v>
      </c>
      <c r="P460" s="1">
        <f>IF(players[[#This Row],[Matches]]&gt;0,players[[#This Row],[Total Goal Involvement]]/players[[#This Row],[Matches]],0)</f>
        <v>0.55555555555555558</v>
      </c>
      <c r="Q460" s="3">
        <f>players[[#This Row],[Total Goal Involvement per match]]/players[[#This Row],[Markey Value In Millions(£)]]</f>
        <v>3.0864197530864199E-2</v>
      </c>
      <c r="R460">
        <v>1</v>
      </c>
      <c r="S460">
        <v>0</v>
      </c>
      <c r="T460">
        <v>0</v>
      </c>
      <c r="U460">
        <v>2</v>
      </c>
      <c r="V460">
        <v>6</v>
      </c>
    </row>
    <row r="461" spans="1:22" x14ac:dyDescent="0.25">
      <c r="A461">
        <v>459</v>
      </c>
      <c r="B461" t="s">
        <v>616</v>
      </c>
      <c r="C461" t="s">
        <v>71</v>
      </c>
      <c r="D461" t="str" cm="1">
        <f t="array" ref="D46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61">
        <v>19</v>
      </c>
      <c r="F461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461" s="2">
        <v>17.100000000000001</v>
      </c>
      <c r="H46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1" t="s">
        <v>197</v>
      </c>
      <c r="J461" t="s">
        <v>165</v>
      </c>
      <c r="K461">
        <v>15</v>
      </c>
      <c r="L461">
        <v>0</v>
      </c>
      <c r="M461">
        <v>0</v>
      </c>
      <c r="N461">
        <v>2</v>
      </c>
      <c r="O461">
        <f>players[[#This Row],[Goals]]+players[[#This Row],[Assists]]</f>
        <v>2</v>
      </c>
      <c r="P461" s="1">
        <f>IF(players[[#This Row],[Matches]]&gt;0,players[[#This Row],[Total Goal Involvement]]/players[[#This Row],[Matches]],0)</f>
        <v>0.13333333333333333</v>
      </c>
      <c r="Q461" s="3">
        <f>players[[#This Row],[Total Goal Involvement per match]]/players[[#This Row],[Markey Value In Millions(£)]]</f>
        <v>7.7972709551656916E-3</v>
      </c>
      <c r="R461">
        <v>2</v>
      </c>
      <c r="S461">
        <v>0</v>
      </c>
      <c r="T461">
        <v>0</v>
      </c>
      <c r="U461">
        <v>5</v>
      </c>
      <c r="V461">
        <v>3</v>
      </c>
    </row>
    <row r="462" spans="1:22" x14ac:dyDescent="0.25">
      <c r="A462">
        <v>460</v>
      </c>
      <c r="B462" t="s">
        <v>617</v>
      </c>
      <c r="C462" t="s">
        <v>69</v>
      </c>
      <c r="D462" t="str" cm="1">
        <f t="array" ref="D46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62">
        <v>24</v>
      </c>
      <c r="F46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62" s="2">
        <v>17.100000000000001</v>
      </c>
      <c r="H46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2" t="s">
        <v>236</v>
      </c>
      <c r="J462" t="s">
        <v>277</v>
      </c>
      <c r="K462">
        <v>14</v>
      </c>
      <c r="L462">
        <v>0</v>
      </c>
      <c r="M462">
        <v>0</v>
      </c>
      <c r="N462">
        <v>0</v>
      </c>
      <c r="O462">
        <f>players[[#This Row],[Goals]]+players[[#This Row],[Assists]]</f>
        <v>0</v>
      </c>
      <c r="P462" s="1">
        <f>IF(players[[#This Row],[Matches]]&gt;0,players[[#This Row],[Total Goal Involvement]]/players[[#This Row],[Matches]],0)</f>
        <v>0</v>
      </c>
      <c r="Q462" s="3">
        <f>players[[#This Row],[Total Goal Involvement per match]]/players[[#This Row],[Markey Value In Millions(£)]]</f>
        <v>0</v>
      </c>
      <c r="R462">
        <v>2</v>
      </c>
      <c r="S462">
        <v>0</v>
      </c>
      <c r="T462">
        <v>0</v>
      </c>
      <c r="U462">
        <v>3</v>
      </c>
      <c r="V462">
        <v>3</v>
      </c>
    </row>
    <row r="463" spans="1:22" x14ac:dyDescent="0.25">
      <c r="A463">
        <v>461</v>
      </c>
      <c r="B463" t="s">
        <v>618</v>
      </c>
      <c r="C463" t="s">
        <v>43</v>
      </c>
      <c r="D463" t="str" cm="1">
        <f t="array" ref="D46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63">
        <v>27</v>
      </c>
      <c r="F46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63" s="2">
        <v>17.100000000000001</v>
      </c>
      <c r="H46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3" t="s">
        <v>50</v>
      </c>
      <c r="J463" t="s">
        <v>333</v>
      </c>
      <c r="K463">
        <v>16</v>
      </c>
      <c r="L463">
        <v>1</v>
      </c>
      <c r="M463">
        <v>0</v>
      </c>
      <c r="N463">
        <v>2</v>
      </c>
      <c r="O463">
        <f>players[[#This Row],[Goals]]+players[[#This Row],[Assists]]</f>
        <v>3</v>
      </c>
      <c r="P463" s="1">
        <f>IF(players[[#This Row],[Matches]]&gt;0,players[[#This Row],[Total Goal Involvement]]/players[[#This Row],[Matches]],0)</f>
        <v>0.1875</v>
      </c>
      <c r="Q463" s="3">
        <f>players[[#This Row],[Total Goal Involvement per match]]/players[[#This Row],[Markey Value In Millions(£)]]</f>
        <v>1.0964912280701754E-2</v>
      </c>
      <c r="R463">
        <v>2</v>
      </c>
      <c r="S463">
        <v>0</v>
      </c>
      <c r="T463">
        <v>0</v>
      </c>
      <c r="U463">
        <v>1</v>
      </c>
      <c r="V463">
        <v>0</v>
      </c>
    </row>
    <row r="464" spans="1:22" x14ac:dyDescent="0.25">
      <c r="A464">
        <v>462</v>
      </c>
      <c r="B464" t="s">
        <v>619</v>
      </c>
      <c r="C464" t="s">
        <v>71</v>
      </c>
      <c r="D464" t="str" cm="1">
        <f t="array" ref="D46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64">
        <v>21</v>
      </c>
      <c r="F464" t="str">
        <f>IF(players[[#This Row],[Age]]&gt;34,"Veterans",IF(players[[#This Row],[Age]]&gt;29,"Experienced",IF(players[[#This Row],[Age]]&gt;23,"Career peak",IF(players[[#This Row],[Age]]&gt;19,"Young","Teenagers"))))</f>
        <v>Young</v>
      </c>
      <c r="G464" s="2">
        <v>16.2</v>
      </c>
      <c r="H46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4" t="s">
        <v>18</v>
      </c>
      <c r="J464" t="s">
        <v>165</v>
      </c>
      <c r="K464">
        <v>16</v>
      </c>
      <c r="L464">
        <v>0</v>
      </c>
      <c r="M464">
        <v>0</v>
      </c>
      <c r="N464">
        <v>0</v>
      </c>
      <c r="O464">
        <f>players[[#This Row],[Goals]]+players[[#This Row],[Assists]]</f>
        <v>0</v>
      </c>
      <c r="P464" s="1">
        <f>IF(players[[#This Row],[Matches]]&gt;0,players[[#This Row],[Total Goal Involvement]]/players[[#This Row],[Matches]],0)</f>
        <v>0</v>
      </c>
      <c r="Q464" s="3">
        <f>players[[#This Row],[Total Goal Involvement per match]]/players[[#This Row],[Markey Value In Millions(£)]]</f>
        <v>0</v>
      </c>
      <c r="R464">
        <v>3</v>
      </c>
      <c r="S464">
        <v>0</v>
      </c>
      <c r="T464">
        <v>0</v>
      </c>
      <c r="U464">
        <v>2</v>
      </c>
      <c r="V464">
        <v>5</v>
      </c>
    </row>
    <row r="465" spans="1:22" x14ac:dyDescent="0.25">
      <c r="A465">
        <v>463</v>
      </c>
      <c r="B465" t="s">
        <v>620</v>
      </c>
      <c r="C465" t="s">
        <v>77</v>
      </c>
      <c r="D465" t="str" cm="1">
        <f t="array" ref="D46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65">
        <v>20</v>
      </c>
      <c r="F465" t="str">
        <f>IF(players[[#This Row],[Age]]&gt;34,"Veterans",IF(players[[#This Row],[Age]]&gt;29,"Experienced",IF(players[[#This Row],[Age]]&gt;23,"Career peak",IF(players[[#This Row],[Age]]&gt;19,"Young","Teenagers"))))</f>
        <v>Young</v>
      </c>
      <c r="G465" s="2">
        <v>16.2</v>
      </c>
      <c r="H46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5" t="s">
        <v>18</v>
      </c>
      <c r="J465" t="s">
        <v>204</v>
      </c>
      <c r="K465">
        <v>6</v>
      </c>
      <c r="L465">
        <v>0</v>
      </c>
      <c r="M465">
        <v>0</v>
      </c>
      <c r="N465">
        <v>2</v>
      </c>
      <c r="O465">
        <f>players[[#This Row],[Goals]]+players[[#This Row],[Assists]]</f>
        <v>2</v>
      </c>
      <c r="P465" s="1">
        <f>IF(players[[#This Row],[Matches]]&gt;0,players[[#This Row],[Total Goal Involvement]]/players[[#This Row],[Matches]],0)</f>
        <v>0.33333333333333331</v>
      </c>
      <c r="Q465" s="3">
        <f>players[[#This Row],[Total Goal Involvement per match]]/players[[#This Row],[Markey Value In Millions(£)]]</f>
        <v>2.0576131687242798E-2</v>
      </c>
      <c r="R465">
        <v>1</v>
      </c>
      <c r="S465">
        <v>0</v>
      </c>
      <c r="T465">
        <v>0</v>
      </c>
      <c r="U465">
        <v>1</v>
      </c>
      <c r="V465">
        <v>3</v>
      </c>
    </row>
    <row r="466" spans="1:22" x14ac:dyDescent="0.25">
      <c r="A466">
        <v>464</v>
      </c>
      <c r="B466" t="s">
        <v>621</v>
      </c>
      <c r="C466" t="s">
        <v>30</v>
      </c>
      <c r="D466" t="str" cm="1">
        <f t="array" ref="D46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66">
        <v>19</v>
      </c>
      <c r="F466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466" s="2">
        <v>16.2</v>
      </c>
      <c r="H46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6" t="s">
        <v>140</v>
      </c>
      <c r="J466" t="s">
        <v>41</v>
      </c>
      <c r="K466">
        <v>2</v>
      </c>
      <c r="L466">
        <v>2</v>
      </c>
      <c r="M466">
        <v>0</v>
      </c>
      <c r="N466">
        <v>1</v>
      </c>
      <c r="O466">
        <f>players[[#This Row],[Goals]]+players[[#This Row],[Assists]]</f>
        <v>3</v>
      </c>
      <c r="P466" s="1">
        <f>IF(players[[#This Row],[Matches]]&gt;0,players[[#This Row],[Total Goal Involvement]]/players[[#This Row],[Matches]],0)</f>
        <v>1.5</v>
      </c>
      <c r="Q466" s="3">
        <f>players[[#This Row],[Total Goal Involvement per match]]/players[[#This Row],[Markey Value In Millions(£)]]</f>
        <v>9.2592592592592601E-2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>
        <v>465</v>
      </c>
      <c r="B467" t="s">
        <v>622</v>
      </c>
      <c r="C467" t="s">
        <v>69</v>
      </c>
      <c r="D467" t="str" cm="1">
        <f t="array" ref="D46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67">
        <v>21</v>
      </c>
      <c r="F467" t="str">
        <f>IF(players[[#This Row],[Age]]&gt;34,"Veterans",IF(players[[#This Row],[Age]]&gt;29,"Experienced",IF(players[[#This Row],[Age]]&gt;23,"Career peak",IF(players[[#This Row],[Age]]&gt;19,"Young","Teenagers"))))</f>
        <v>Young</v>
      </c>
      <c r="G467" s="2">
        <v>16.2</v>
      </c>
      <c r="H46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7" t="s">
        <v>24</v>
      </c>
      <c r="J467" t="s">
        <v>416</v>
      </c>
      <c r="K467">
        <v>5</v>
      </c>
      <c r="L467">
        <v>0</v>
      </c>
      <c r="M467">
        <v>0</v>
      </c>
      <c r="N467">
        <v>0</v>
      </c>
      <c r="O467">
        <f>players[[#This Row],[Goals]]+players[[#This Row],[Assists]]</f>
        <v>0</v>
      </c>
      <c r="P467" s="1">
        <f>IF(players[[#This Row],[Matches]]&gt;0,players[[#This Row],[Total Goal Involvement]]/players[[#This Row],[Matches]],0)</f>
        <v>0</v>
      </c>
      <c r="Q467" s="3">
        <f>players[[#This Row],[Total Goal Involvement per match]]/players[[#This Row],[Markey Value In Millions(£)]]</f>
        <v>0</v>
      </c>
      <c r="R467">
        <v>1</v>
      </c>
      <c r="S467">
        <v>0</v>
      </c>
      <c r="T467">
        <v>0</v>
      </c>
      <c r="U467">
        <v>3</v>
      </c>
      <c r="V467">
        <v>2</v>
      </c>
    </row>
    <row r="468" spans="1:22" x14ac:dyDescent="0.25">
      <c r="A468">
        <v>466</v>
      </c>
      <c r="B468" t="s">
        <v>623</v>
      </c>
      <c r="C468" t="s">
        <v>30</v>
      </c>
      <c r="D468" t="str" cm="1">
        <f t="array" ref="D46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68">
        <v>19</v>
      </c>
      <c r="F468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468" s="2">
        <v>16.2</v>
      </c>
      <c r="H46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8" t="s">
        <v>24</v>
      </c>
      <c r="J468" t="s">
        <v>493</v>
      </c>
      <c r="K468">
        <v>17</v>
      </c>
      <c r="L468">
        <v>6</v>
      </c>
      <c r="M468">
        <v>0</v>
      </c>
      <c r="N468">
        <v>1</v>
      </c>
      <c r="O468">
        <f>players[[#This Row],[Goals]]+players[[#This Row],[Assists]]</f>
        <v>7</v>
      </c>
      <c r="P468" s="1">
        <f>IF(players[[#This Row],[Matches]]&gt;0,players[[#This Row],[Total Goal Involvement]]/players[[#This Row],[Matches]],0)</f>
        <v>0.41176470588235292</v>
      </c>
      <c r="Q468" s="3">
        <f>players[[#This Row],[Total Goal Involvement per match]]/players[[#This Row],[Markey Value In Millions(£)]]</f>
        <v>2.5417574437182282E-2</v>
      </c>
      <c r="R468">
        <v>0</v>
      </c>
      <c r="S468">
        <v>0</v>
      </c>
      <c r="T468">
        <v>0</v>
      </c>
      <c r="U468">
        <v>2</v>
      </c>
      <c r="V468">
        <v>15</v>
      </c>
    </row>
    <row r="469" spans="1:22" x14ac:dyDescent="0.25">
      <c r="A469">
        <v>467</v>
      </c>
      <c r="B469" t="s">
        <v>624</v>
      </c>
      <c r="C469" t="s">
        <v>27</v>
      </c>
      <c r="D469" t="str" cm="1">
        <f t="array" ref="D46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69">
        <v>20</v>
      </c>
      <c r="F469" t="str">
        <f>IF(players[[#This Row],[Age]]&gt;34,"Veterans",IF(players[[#This Row],[Age]]&gt;29,"Experienced",IF(players[[#This Row],[Age]]&gt;23,"Career peak",IF(players[[#This Row],[Age]]&gt;19,"Young","Teenagers"))))</f>
        <v>Young</v>
      </c>
      <c r="G469" s="2">
        <v>16.2</v>
      </c>
      <c r="H46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69" t="s">
        <v>625</v>
      </c>
      <c r="J469" t="s">
        <v>626</v>
      </c>
      <c r="K469">
        <v>15</v>
      </c>
      <c r="L469">
        <v>1</v>
      </c>
      <c r="M469">
        <v>0</v>
      </c>
      <c r="N469">
        <v>2</v>
      </c>
      <c r="O469">
        <f>players[[#This Row],[Goals]]+players[[#This Row],[Assists]]</f>
        <v>3</v>
      </c>
      <c r="P469" s="1">
        <f>IF(players[[#This Row],[Matches]]&gt;0,players[[#This Row],[Total Goal Involvement]]/players[[#This Row],[Matches]],0)</f>
        <v>0.2</v>
      </c>
      <c r="Q469" s="3">
        <f>players[[#This Row],[Total Goal Involvement per match]]/players[[#This Row],[Markey Value In Millions(£)]]</f>
        <v>1.234567901234568E-2</v>
      </c>
      <c r="R469">
        <v>4</v>
      </c>
      <c r="S469">
        <v>0</v>
      </c>
      <c r="T469">
        <v>0</v>
      </c>
      <c r="U469">
        <v>3</v>
      </c>
      <c r="V469">
        <v>7</v>
      </c>
    </row>
    <row r="470" spans="1:22" x14ac:dyDescent="0.25">
      <c r="A470">
        <v>468</v>
      </c>
      <c r="B470" t="s">
        <v>627</v>
      </c>
      <c r="C470" t="s">
        <v>43</v>
      </c>
      <c r="D470" t="str" cm="1">
        <f t="array" ref="D47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70">
        <v>24</v>
      </c>
      <c r="F47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70" s="2">
        <v>16.2</v>
      </c>
      <c r="H47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0" t="s">
        <v>39</v>
      </c>
      <c r="J470" t="s">
        <v>452</v>
      </c>
      <c r="K470">
        <v>20</v>
      </c>
      <c r="L470">
        <v>4</v>
      </c>
      <c r="M470">
        <v>0</v>
      </c>
      <c r="N470">
        <v>2</v>
      </c>
      <c r="O470">
        <f>players[[#This Row],[Goals]]+players[[#This Row],[Assists]]</f>
        <v>6</v>
      </c>
      <c r="P470" s="1">
        <f>IF(players[[#This Row],[Matches]]&gt;0,players[[#This Row],[Total Goal Involvement]]/players[[#This Row],[Matches]],0)</f>
        <v>0.3</v>
      </c>
      <c r="Q470" s="3">
        <f>players[[#This Row],[Total Goal Involvement per match]]/players[[#This Row],[Markey Value In Millions(£)]]</f>
        <v>1.8518518518518517E-2</v>
      </c>
      <c r="R470">
        <v>3</v>
      </c>
      <c r="S470">
        <v>0</v>
      </c>
      <c r="T470">
        <v>0</v>
      </c>
      <c r="U470">
        <v>0</v>
      </c>
      <c r="V470">
        <v>13</v>
      </c>
    </row>
    <row r="471" spans="1:22" x14ac:dyDescent="0.25">
      <c r="A471">
        <v>469</v>
      </c>
      <c r="B471" t="s">
        <v>628</v>
      </c>
      <c r="C471" t="s">
        <v>71</v>
      </c>
      <c r="D471" t="str" cm="1">
        <f t="array" ref="D47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71">
        <v>20</v>
      </c>
      <c r="F471" t="str">
        <f>IF(players[[#This Row],[Age]]&gt;34,"Veterans",IF(players[[#This Row],[Age]]&gt;29,"Experienced",IF(players[[#This Row],[Age]]&gt;23,"Career peak",IF(players[[#This Row],[Age]]&gt;19,"Young","Teenagers"))))</f>
        <v>Young</v>
      </c>
      <c r="G471" s="2">
        <v>16.2</v>
      </c>
      <c r="H47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1" t="s">
        <v>18</v>
      </c>
      <c r="J471" t="s">
        <v>358</v>
      </c>
      <c r="K471">
        <v>20</v>
      </c>
      <c r="L471">
        <v>0</v>
      </c>
      <c r="M471">
        <v>0</v>
      </c>
      <c r="N471">
        <v>0</v>
      </c>
      <c r="O471">
        <f>players[[#This Row],[Goals]]+players[[#This Row],[Assists]]</f>
        <v>0</v>
      </c>
      <c r="P471" s="1">
        <f>IF(players[[#This Row],[Matches]]&gt;0,players[[#This Row],[Total Goal Involvement]]/players[[#This Row],[Matches]],0)</f>
        <v>0</v>
      </c>
      <c r="Q471" s="3">
        <f>players[[#This Row],[Total Goal Involvement per match]]/players[[#This Row],[Markey Value In Millions(£)]]</f>
        <v>0</v>
      </c>
      <c r="R471">
        <v>3</v>
      </c>
      <c r="S471">
        <v>0</v>
      </c>
      <c r="T471">
        <v>0</v>
      </c>
      <c r="U471">
        <v>0</v>
      </c>
      <c r="V471">
        <v>1</v>
      </c>
    </row>
    <row r="472" spans="1:22" x14ac:dyDescent="0.25">
      <c r="A472">
        <v>470</v>
      </c>
      <c r="B472" t="s">
        <v>629</v>
      </c>
      <c r="C472" t="s">
        <v>71</v>
      </c>
      <c r="D472" t="str" cm="1">
        <f t="array" ref="D47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72">
        <v>24</v>
      </c>
      <c r="F47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72" s="2">
        <v>16.2</v>
      </c>
      <c r="H47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2" t="s">
        <v>62</v>
      </c>
      <c r="J472" t="s">
        <v>630</v>
      </c>
      <c r="K472">
        <v>18</v>
      </c>
      <c r="L472">
        <v>0</v>
      </c>
      <c r="M472">
        <v>0</v>
      </c>
      <c r="N472">
        <v>3</v>
      </c>
      <c r="O472">
        <f>players[[#This Row],[Goals]]+players[[#This Row],[Assists]]</f>
        <v>3</v>
      </c>
      <c r="P472" s="1">
        <f>IF(players[[#This Row],[Matches]]&gt;0,players[[#This Row],[Total Goal Involvement]]/players[[#This Row],[Matches]],0)</f>
        <v>0.16666666666666666</v>
      </c>
      <c r="Q472" s="3">
        <f>players[[#This Row],[Total Goal Involvement per match]]/players[[#This Row],[Markey Value In Millions(£)]]</f>
        <v>1.0288065843621399E-2</v>
      </c>
      <c r="R472">
        <v>2</v>
      </c>
      <c r="S472">
        <v>0</v>
      </c>
      <c r="T472">
        <v>0</v>
      </c>
      <c r="U472">
        <v>0</v>
      </c>
      <c r="V472">
        <v>5</v>
      </c>
    </row>
    <row r="473" spans="1:22" x14ac:dyDescent="0.25">
      <c r="A473">
        <v>471</v>
      </c>
      <c r="B473" t="s">
        <v>631</v>
      </c>
      <c r="C473" t="s">
        <v>17</v>
      </c>
      <c r="D473" t="str" cm="1">
        <f t="array" ref="D47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73">
        <v>16</v>
      </c>
      <c r="F473" t="str">
        <f>IF(players[[#This Row],[Age]]&gt;34,"Veterans",IF(players[[#This Row],[Age]]&gt;29,"Experienced",IF(players[[#This Row],[Age]]&gt;23,"Career peak",IF(players[[#This Row],[Age]]&gt;19,"Young","Teenagers"))))</f>
        <v>Teenagers</v>
      </c>
      <c r="G473" s="2">
        <v>16.2</v>
      </c>
      <c r="H47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3" t="s">
        <v>50</v>
      </c>
      <c r="J473" t="s">
        <v>22</v>
      </c>
      <c r="K473">
        <v>11</v>
      </c>
      <c r="L473">
        <v>3</v>
      </c>
      <c r="M473">
        <v>0</v>
      </c>
      <c r="N473">
        <v>1</v>
      </c>
      <c r="O473">
        <f>players[[#This Row],[Goals]]+players[[#This Row],[Assists]]</f>
        <v>4</v>
      </c>
      <c r="P473" s="1">
        <f>IF(players[[#This Row],[Matches]]&gt;0,players[[#This Row],[Total Goal Involvement]]/players[[#This Row],[Matches]],0)</f>
        <v>0.36363636363636365</v>
      </c>
      <c r="Q473" s="3">
        <f>players[[#This Row],[Total Goal Involvement per match]]/players[[#This Row],[Markey Value In Millions(£)]]</f>
        <v>2.2446689113355782E-2</v>
      </c>
      <c r="R473">
        <v>2</v>
      </c>
      <c r="S473">
        <v>0</v>
      </c>
      <c r="T473">
        <v>0</v>
      </c>
      <c r="U473">
        <v>7</v>
      </c>
      <c r="V473">
        <v>3</v>
      </c>
    </row>
    <row r="474" spans="1:22" x14ac:dyDescent="0.25">
      <c r="A474">
        <v>472</v>
      </c>
      <c r="B474" t="s">
        <v>632</v>
      </c>
      <c r="C474" t="s">
        <v>71</v>
      </c>
      <c r="D474" t="str" cm="1">
        <f t="array" ref="D47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74">
        <v>24</v>
      </c>
      <c r="F47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74" s="2">
        <v>16.2</v>
      </c>
      <c r="H47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4" t="s">
        <v>39</v>
      </c>
      <c r="J474" t="s">
        <v>93</v>
      </c>
      <c r="K474">
        <v>13</v>
      </c>
      <c r="L474">
        <v>0</v>
      </c>
      <c r="M474">
        <v>0</v>
      </c>
      <c r="N474">
        <v>0</v>
      </c>
      <c r="O474">
        <f>players[[#This Row],[Goals]]+players[[#This Row],[Assists]]</f>
        <v>0</v>
      </c>
      <c r="P474" s="1">
        <f>IF(players[[#This Row],[Matches]]&gt;0,players[[#This Row],[Total Goal Involvement]]/players[[#This Row],[Matches]],0)</f>
        <v>0</v>
      </c>
      <c r="Q474" s="3">
        <f>players[[#This Row],[Total Goal Involvement per match]]/players[[#This Row],[Markey Value In Millions(£)]]</f>
        <v>0</v>
      </c>
      <c r="R474">
        <v>4</v>
      </c>
      <c r="S474">
        <v>0</v>
      </c>
      <c r="T474">
        <v>1</v>
      </c>
      <c r="U474">
        <v>0</v>
      </c>
      <c r="V474">
        <v>2</v>
      </c>
    </row>
    <row r="475" spans="1:22" x14ac:dyDescent="0.25">
      <c r="A475">
        <v>473</v>
      </c>
      <c r="B475" t="s">
        <v>633</v>
      </c>
      <c r="C475" t="s">
        <v>43</v>
      </c>
      <c r="D475" t="str" cm="1">
        <f t="array" ref="D47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75">
        <v>24</v>
      </c>
      <c r="F47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75" s="2">
        <v>16.2</v>
      </c>
      <c r="H47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5" t="s">
        <v>109</v>
      </c>
      <c r="J475" t="s">
        <v>534</v>
      </c>
      <c r="K475">
        <v>11</v>
      </c>
      <c r="L475">
        <v>4</v>
      </c>
      <c r="M475">
        <v>0</v>
      </c>
      <c r="N475">
        <v>1</v>
      </c>
      <c r="O475">
        <f>players[[#This Row],[Goals]]+players[[#This Row],[Assists]]</f>
        <v>5</v>
      </c>
      <c r="P475" s="1">
        <f>IF(players[[#This Row],[Matches]]&gt;0,players[[#This Row],[Total Goal Involvement]]/players[[#This Row],[Matches]],0)</f>
        <v>0.45454545454545453</v>
      </c>
      <c r="Q475" s="3">
        <f>players[[#This Row],[Total Goal Involvement per match]]/players[[#This Row],[Markey Value In Millions(£)]]</f>
        <v>2.8058361391694726E-2</v>
      </c>
      <c r="R475">
        <v>1</v>
      </c>
      <c r="S475">
        <v>0</v>
      </c>
      <c r="T475">
        <v>0</v>
      </c>
      <c r="U475">
        <v>2</v>
      </c>
      <c r="V475">
        <v>3</v>
      </c>
    </row>
    <row r="476" spans="1:22" x14ac:dyDescent="0.25">
      <c r="A476">
        <v>474</v>
      </c>
      <c r="B476" t="s">
        <v>634</v>
      </c>
      <c r="C476" t="s">
        <v>106</v>
      </c>
      <c r="D476" t="str" cm="1">
        <f t="array" ref="D47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76">
        <v>21</v>
      </c>
      <c r="F476" t="str">
        <f>IF(players[[#This Row],[Age]]&gt;34,"Veterans",IF(players[[#This Row],[Age]]&gt;29,"Experienced",IF(players[[#This Row],[Age]]&gt;23,"Career peak",IF(players[[#This Row],[Age]]&gt;19,"Young","Teenagers"))))</f>
        <v>Young</v>
      </c>
      <c r="G476" s="2">
        <v>16.2</v>
      </c>
      <c r="H47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6" t="s">
        <v>24</v>
      </c>
      <c r="J476" t="s">
        <v>25</v>
      </c>
      <c r="K476">
        <v>3</v>
      </c>
      <c r="L476">
        <v>0</v>
      </c>
      <c r="M476">
        <v>0</v>
      </c>
      <c r="N476">
        <v>0</v>
      </c>
      <c r="O476">
        <f>players[[#This Row],[Goals]]+players[[#This Row],[Assists]]</f>
        <v>0</v>
      </c>
      <c r="P476" s="1">
        <f>IF(players[[#This Row],[Matches]]&gt;0,players[[#This Row],[Total Goal Involvement]]/players[[#This Row],[Matches]],0)</f>
        <v>0</v>
      </c>
      <c r="Q476" s="3">
        <f>players[[#This Row],[Total Goal Involvement per match]]/players[[#This Row],[Markey Value In Millions(£)]]</f>
        <v>0</v>
      </c>
      <c r="R476">
        <v>0</v>
      </c>
      <c r="S476">
        <v>0</v>
      </c>
      <c r="T476">
        <v>0</v>
      </c>
      <c r="U476">
        <v>0</v>
      </c>
      <c r="V476">
        <v>3</v>
      </c>
    </row>
    <row r="477" spans="1:22" x14ac:dyDescent="0.25">
      <c r="A477">
        <v>475</v>
      </c>
      <c r="B477" t="s">
        <v>635</v>
      </c>
      <c r="C477" t="s">
        <v>71</v>
      </c>
      <c r="D477" t="str" cm="1">
        <f t="array" ref="D47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77">
        <v>23</v>
      </c>
      <c r="F477" t="str">
        <f>IF(players[[#This Row],[Age]]&gt;34,"Veterans",IF(players[[#This Row],[Age]]&gt;29,"Experienced",IF(players[[#This Row],[Age]]&gt;23,"Career peak",IF(players[[#This Row],[Age]]&gt;19,"Young","Teenagers"))))</f>
        <v>Young</v>
      </c>
      <c r="G477" s="2">
        <v>16.2</v>
      </c>
      <c r="H47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7" t="s">
        <v>18</v>
      </c>
      <c r="J477" t="s">
        <v>259</v>
      </c>
      <c r="K477">
        <v>16</v>
      </c>
      <c r="L477">
        <v>1</v>
      </c>
      <c r="M477">
        <v>0</v>
      </c>
      <c r="N477">
        <v>0</v>
      </c>
      <c r="O477">
        <f>players[[#This Row],[Goals]]+players[[#This Row],[Assists]]</f>
        <v>1</v>
      </c>
      <c r="P477" s="1">
        <f>IF(players[[#This Row],[Matches]]&gt;0,players[[#This Row],[Total Goal Involvement]]/players[[#This Row],[Matches]],0)</f>
        <v>6.25E-2</v>
      </c>
      <c r="Q477" s="3">
        <f>players[[#This Row],[Total Goal Involvement per match]]/players[[#This Row],[Markey Value In Millions(£)]]</f>
        <v>3.8580246913580249E-3</v>
      </c>
      <c r="R477">
        <v>3</v>
      </c>
      <c r="S477">
        <v>0</v>
      </c>
      <c r="T477">
        <v>0</v>
      </c>
      <c r="U477">
        <v>3</v>
      </c>
      <c r="V477">
        <v>4</v>
      </c>
    </row>
    <row r="478" spans="1:22" x14ac:dyDescent="0.25">
      <c r="A478">
        <v>476</v>
      </c>
      <c r="B478" t="s">
        <v>636</v>
      </c>
      <c r="C478" t="s">
        <v>30</v>
      </c>
      <c r="D478" t="str" cm="1">
        <f t="array" ref="D47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78">
        <v>22</v>
      </c>
      <c r="F478" t="str">
        <f>IF(players[[#This Row],[Age]]&gt;34,"Veterans",IF(players[[#This Row],[Age]]&gt;29,"Experienced",IF(players[[#This Row],[Age]]&gt;23,"Career peak",IF(players[[#This Row],[Age]]&gt;19,"Young","Teenagers"))))</f>
        <v>Young</v>
      </c>
      <c r="G478" s="2">
        <v>16.2</v>
      </c>
      <c r="H47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8" t="s">
        <v>34</v>
      </c>
      <c r="J478" t="s">
        <v>141</v>
      </c>
      <c r="K478">
        <v>16</v>
      </c>
      <c r="L478">
        <v>0</v>
      </c>
      <c r="M478">
        <v>0</v>
      </c>
      <c r="N478">
        <v>2</v>
      </c>
      <c r="O478">
        <f>players[[#This Row],[Goals]]+players[[#This Row],[Assists]]</f>
        <v>2</v>
      </c>
      <c r="P478" s="1">
        <f>IF(players[[#This Row],[Matches]]&gt;0,players[[#This Row],[Total Goal Involvement]]/players[[#This Row],[Matches]],0)</f>
        <v>0.125</v>
      </c>
      <c r="Q478" s="3">
        <f>players[[#This Row],[Total Goal Involvement per match]]/players[[#This Row],[Markey Value In Millions(£)]]</f>
        <v>7.7160493827160498E-3</v>
      </c>
      <c r="R478">
        <v>2</v>
      </c>
      <c r="S478">
        <v>0</v>
      </c>
      <c r="T478">
        <v>0</v>
      </c>
      <c r="U478">
        <v>4</v>
      </c>
      <c r="V478">
        <v>7</v>
      </c>
    </row>
    <row r="479" spans="1:22" x14ac:dyDescent="0.25">
      <c r="A479">
        <v>477</v>
      </c>
      <c r="B479" t="s">
        <v>637</v>
      </c>
      <c r="C479" t="s">
        <v>43</v>
      </c>
      <c r="D479" t="str" cm="1">
        <f t="array" ref="D47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79">
        <v>23</v>
      </c>
      <c r="F479" t="str">
        <f>IF(players[[#This Row],[Age]]&gt;34,"Veterans",IF(players[[#This Row],[Age]]&gt;29,"Experienced",IF(players[[#This Row],[Age]]&gt;23,"Career peak",IF(players[[#This Row],[Age]]&gt;19,"Young","Teenagers"))))</f>
        <v>Young</v>
      </c>
      <c r="G479" s="2">
        <v>16.2</v>
      </c>
      <c r="H47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79" t="s">
        <v>638</v>
      </c>
      <c r="J479" t="s">
        <v>639</v>
      </c>
      <c r="K479">
        <v>4</v>
      </c>
      <c r="L479">
        <v>0</v>
      </c>
      <c r="M479">
        <v>0</v>
      </c>
      <c r="N479">
        <v>0</v>
      </c>
      <c r="O479">
        <f>players[[#This Row],[Goals]]+players[[#This Row],[Assists]]</f>
        <v>0</v>
      </c>
      <c r="P479" s="1">
        <f>IF(players[[#This Row],[Matches]]&gt;0,players[[#This Row],[Total Goal Involvement]]/players[[#This Row],[Matches]],0)</f>
        <v>0</v>
      </c>
      <c r="Q479" s="3">
        <f>players[[#This Row],[Total Goal Involvement per match]]/players[[#This Row],[Markey Value In Millions(£)]]</f>
        <v>0</v>
      </c>
      <c r="R479">
        <v>1</v>
      </c>
      <c r="S479">
        <v>0</v>
      </c>
      <c r="T479">
        <v>0</v>
      </c>
      <c r="U479">
        <v>3</v>
      </c>
      <c r="V479">
        <v>1</v>
      </c>
    </row>
    <row r="480" spans="1:22" x14ac:dyDescent="0.25">
      <c r="A480">
        <v>478</v>
      </c>
      <c r="B480" t="s">
        <v>640</v>
      </c>
      <c r="C480" t="s">
        <v>30</v>
      </c>
      <c r="D480" t="str" cm="1">
        <f t="array" ref="D48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80">
        <v>24</v>
      </c>
      <c r="F48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0" s="2">
        <v>16.2</v>
      </c>
      <c r="H48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0" t="s">
        <v>183</v>
      </c>
      <c r="J480" t="s">
        <v>358</v>
      </c>
      <c r="K480">
        <v>15</v>
      </c>
      <c r="L480">
        <v>5</v>
      </c>
      <c r="M480">
        <v>0</v>
      </c>
      <c r="N480">
        <v>0</v>
      </c>
      <c r="O480">
        <f>players[[#This Row],[Goals]]+players[[#This Row],[Assists]]</f>
        <v>5</v>
      </c>
      <c r="P480" s="1">
        <f>IF(players[[#This Row],[Matches]]&gt;0,players[[#This Row],[Total Goal Involvement]]/players[[#This Row],[Matches]],0)</f>
        <v>0.33333333333333331</v>
      </c>
      <c r="Q480" s="3">
        <f>players[[#This Row],[Total Goal Involvement per match]]/players[[#This Row],[Markey Value In Millions(£)]]</f>
        <v>2.0576131687242798E-2</v>
      </c>
      <c r="R480">
        <v>0</v>
      </c>
      <c r="S480">
        <v>1</v>
      </c>
      <c r="T480">
        <v>0</v>
      </c>
      <c r="U480">
        <v>1</v>
      </c>
      <c r="V480">
        <v>5</v>
      </c>
    </row>
    <row r="481" spans="1:22" x14ac:dyDescent="0.25">
      <c r="A481">
        <v>479</v>
      </c>
      <c r="B481" t="s">
        <v>641</v>
      </c>
      <c r="C481" t="s">
        <v>69</v>
      </c>
      <c r="D481" t="str" cm="1">
        <f t="array" ref="D48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81">
        <v>24</v>
      </c>
      <c r="F48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1" s="2">
        <v>16.2</v>
      </c>
      <c r="H48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1" t="s">
        <v>24</v>
      </c>
      <c r="J481" t="s">
        <v>308</v>
      </c>
      <c r="K481">
        <v>9</v>
      </c>
      <c r="L481">
        <v>1</v>
      </c>
      <c r="M481">
        <v>0</v>
      </c>
      <c r="N481">
        <v>1</v>
      </c>
      <c r="O481">
        <f>players[[#This Row],[Goals]]+players[[#This Row],[Assists]]</f>
        <v>2</v>
      </c>
      <c r="P481" s="1">
        <f>IF(players[[#This Row],[Matches]]&gt;0,players[[#This Row],[Total Goal Involvement]]/players[[#This Row],[Matches]],0)</f>
        <v>0.22222222222222221</v>
      </c>
      <c r="Q481" s="3">
        <f>players[[#This Row],[Total Goal Involvement per match]]/players[[#This Row],[Markey Value In Millions(£)]]</f>
        <v>1.3717421124828532E-2</v>
      </c>
      <c r="R481">
        <v>2</v>
      </c>
      <c r="S481">
        <v>0</v>
      </c>
      <c r="T481">
        <v>0</v>
      </c>
      <c r="U481">
        <v>1</v>
      </c>
      <c r="V481">
        <v>1</v>
      </c>
    </row>
    <row r="482" spans="1:22" x14ac:dyDescent="0.25">
      <c r="A482">
        <v>480</v>
      </c>
      <c r="B482" t="s">
        <v>642</v>
      </c>
      <c r="C482" t="s">
        <v>69</v>
      </c>
      <c r="D482" t="str" cm="1">
        <f t="array" ref="D48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82">
        <v>24</v>
      </c>
      <c r="F482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2" s="2">
        <v>16.2</v>
      </c>
      <c r="H48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2" t="s">
        <v>80</v>
      </c>
      <c r="J482" t="s">
        <v>293</v>
      </c>
      <c r="K482">
        <v>16</v>
      </c>
      <c r="L482">
        <v>4</v>
      </c>
      <c r="M482">
        <v>0</v>
      </c>
      <c r="N482">
        <v>3</v>
      </c>
      <c r="O482">
        <f>players[[#This Row],[Goals]]+players[[#This Row],[Assists]]</f>
        <v>7</v>
      </c>
      <c r="P482" s="1">
        <f>IF(players[[#This Row],[Matches]]&gt;0,players[[#This Row],[Total Goal Involvement]]/players[[#This Row],[Matches]],0)</f>
        <v>0.4375</v>
      </c>
      <c r="Q482" s="3">
        <f>players[[#This Row],[Total Goal Involvement per match]]/players[[#This Row],[Markey Value In Millions(£)]]</f>
        <v>2.7006172839506175E-2</v>
      </c>
      <c r="R482">
        <v>1</v>
      </c>
      <c r="S482">
        <v>0</v>
      </c>
      <c r="T482">
        <v>0</v>
      </c>
      <c r="U482">
        <v>0</v>
      </c>
      <c r="V482">
        <v>5</v>
      </c>
    </row>
    <row r="483" spans="1:22" x14ac:dyDescent="0.25">
      <c r="A483">
        <v>481</v>
      </c>
      <c r="B483" t="s">
        <v>643</v>
      </c>
      <c r="C483" t="s">
        <v>17</v>
      </c>
      <c r="D483" t="str" cm="1">
        <f t="array" ref="D48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83">
        <v>24</v>
      </c>
      <c r="F48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3" s="2">
        <v>16.2</v>
      </c>
      <c r="H48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3" t="s">
        <v>118</v>
      </c>
      <c r="J483" t="s">
        <v>644</v>
      </c>
      <c r="K483">
        <v>15</v>
      </c>
      <c r="L483">
        <v>7</v>
      </c>
      <c r="M483">
        <v>0</v>
      </c>
      <c r="N483">
        <v>6</v>
      </c>
      <c r="O483">
        <f>players[[#This Row],[Goals]]+players[[#This Row],[Assists]]</f>
        <v>13</v>
      </c>
      <c r="P483" s="1">
        <f>IF(players[[#This Row],[Matches]]&gt;0,players[[#This Row],[Total Goal Involvement]]/players[[#This Row],[Matches]],0)</f>
        <v>0.8666666666666667</v>
      </c>
      <c r="Q483" s="3">
        <f>players[[#This Row],[Total Goal Involvement per match]]/players[[#This Row],[Markey Value In Millions(£)]]</f>
        <v>5.3497942386831282E-2</v>
      </c>
      <c r="R483">
        <v>5</v>
      </c>
      <c r="S483">
        <v>0</v>
      </c>
      <c r="T483">
        <v>0</v>
      </c>
      <c r="U483">
        <v>1</v>
      </c>
      <c r="V483">
        <v>7</v>
      </c>
    </row>
    <row r="484" spans="1:22" x14ac:dyDescent="0.25">
      <c r="A484">
        <v>482</v>
      </c>
      <c r="B484" t="s">
        <v>645</v>
      </c>
      <c r="C484" t="s">
        <v>49</v>
      </c>
      <c r="D484" t="str" cm="1">
        <f t="array" ref="D48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84">
        <v>23</v>
      </c>
      <c r="F484" t="str">
        <f>IF(players[[#This Row],[Age]]&gt;34,"Veterans",IF(players[[#This Row],[Age]]&gt;29,"Experienced",IF(players[[#This Row],[Age]]&gt;23,"Career peak",IF(players[[#This Row],[Age]]&gt;19,"Young","Teenagers"))))</f>
        <v>Young</v>
      </c>
      <c r="G484" s="2">
        <v>16.2</v>
      </c>
      <c r="H48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4" t="s">
        <v>21</v>
      </c>
      <c r="J484" t="s">
        <v>646</v>
      </c>
      <c r="K484">
        <v>6</v>
      </c>
      <c r="L484">
        <v>1</v>
      </c>
      <c r="M484">
        <v>0</v>
      </c>
      <c r="N484">
        <v>0</v>
      </c>
      <c r="O484">
        <f>players[[#This Row],[Goals]]+players[[#This Row],[Assists]]</f>
        <v>1</v>
      </c>
      <c r="P484" s="1">
        <f>IF(players[[#This Row],[Matches]]&gt;0,players[[#This Row],[Total Goal Involvement]]/players[[#This Row],[Matches]],0)</f>
        <v>0.16666666666666666</v>
      </c>
      <c r="Q484" s="3">
        <f>players[[#This Row],[Total Goal Involvement per match]]/players[[#This Row],[Markey Value In Millions(£)]]</f>
        <v>1.0288065843621399E-2</v>
      </c>
      <c r="R484">
        <v>0</v>
      </c>
      <c r="S484">
        <v>0</v>
      </c>
      <c r="T484">
        <v>0</v>
      </c>
      <c r="U484">
        <v>1</v>
      </c>
      <c r="V484">
        <v>1</v>
      </c>
    </row>
    <row r="485" spans="1:22" x14ac:dyDescent="0.25">
      <c r="A485">
        <v>483</v>
      </c>
      <c r="B485" t="s">
        <v>647</v>
      </c>
      <c r="C485" t="s">
        <v>348</v>
      </c>
      <c r="D485" t="str" cm="1">
        <f t="array" ref="D48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85">
        <v>27</v>
      </c>
      <c r="F48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5" s="2">
        <v>16.2</v>
      </c>
      <c r="H48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5" t="s">
        <v>87</v>
      </c>
      <c r="J485" t="s">
        <v>93</v>
      </c>
      <c r="K485">
        <v>13</v>
      </c>
      <c r="L485">
        <v>1</v>
      </c>
      <c r="M485">
        <v>0</v>
      </c>
      <c r="N485">
        <v>0</v>
      </c>
      <c r="O485">
        <f>players[[#This Row],[Goals]]+players[[#This Row],[Assists]]</f>
        <v>1</v>
      </c>
      <c r="P485" s="1">
        <f>IF(players[[#This Row],[Matches]]&gt;0,players[[#This Row],[Total Goal Involvement]]/players[[#This Row],[Matches]],0)</f>
        <v>7.6923076923076927E-2</v>
      </c>
      <c r="Q485" s="3">
        <f>players[[#This Row],[Total Goal Involvement per match]]/players[[#This Row],[Markey Value In Millions(£)]]</f>
        <v>4.7483380816714157E-3</v>
      </c>
      <c r="R485">
        <v>2</v>
      </c>
      <c r="S485">
        <v>0</v>
      </c>
      <c r="T485">
        <v>0</v>
      </c>
      <c r="U485">
        <v>5</v>
      </c>
      <c r="V485">
        <v>4</v>
      </c>
    </row>
    <row r="486" spans="1:22" x14ac:dyDescent="0.25">
      <c r="A486">
        <v>484</v>
      </c>
      <c r="B486" t="s">
        <v>648</v>
      </c>
      <c r="C486" t="s">
        <v>27</v>
      </c>
      <c r="D486" t="str" cm="1">
        <f t="array" ref="D48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86">
        <v>25</v>
      </c>
      <c r="F48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6" s="2">
        <v>16.2</v>
      </c>
      <c r="H48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6" t="s">
        <v>39</v>
      </c>
      <c r="J486" t="s">
        <v>475</v>
      </c>
      <c r="K486">
        <v>20</v>
      </c>
      <c r="L486">
        <v>3</v>
      </c>
      <c r="M486">
        <v>1</v>
      </c>
      <c r="N486">
        <v>4</v>
      </c>
      <c r="O486">
        <f>players[[#This Row],[Goals]]+players[[#This Row],[Assists]]</f>
        <v>7</v>
      </c>
      <c r="P486" s="1">
        <f>IF(players[[#This Row],[Matches]]&gt;0,players[[#This Row],[Total Goal Involvement]]/players[[#This Row],[Matches]],0)</f>
        <v>0.35</v>
      </c>
      <c r="Q486" s="3">
        <f>players[[#This Row],[Total Goal Involvement per match]]/players[[#This Row],[Markey Value In Millions(£)]]</f>
        <v>2.1604938271604937E-2</v>
      </c>
      <c r="R486">
        <v>3</v>
      </c>
      <c r="S486">
        <v>0</v>
      </c>
      <c r="T486">
        <v>0</v>
      </c>
      <c r="U486">
        <v>10</v>
      </c>
      <c r="V486">
        <v>6</v>
      </c>
    </row>
    <row r="487" spans="1:22" x14ac:dyDescent="0.25">
      <c r="A487">
        <v>485</v>
      </c>
      <c r="B487" t="s">
        <v>649</v>
      </c>
      <c r="C487" t="s">
        <v>27</v>
      </c>
      <c r="D487" t="str" cm="1">
        <f t="array" ref="D48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87">
        <v>24</v>
      </c>
      <c r="F48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7" s="2">
        <v>16.2</v>
      </c>
      <c r="H48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7" t="s">
        <v>650</v>
      </c>
      <c r="J487" t="s">
        <v>219</v>
      </c>
      <c r="K487">
        <v>12</v>
      </c>
      <c r="L487">
        <v>0</v>
      </c>
      <c r="M487">
        <v>0</v>
      </c>
      <c r="N487">
        <v>1</v>
      </c>
      <c r="O487">
        <f>players[[#This Row],[Goals]]+players[[#This Row],[Assists]]</f>
        <v>1</v>
      </c>
      <c r="P487" s="1">
        <f>IF(players[[#This Row],[Matches]]&gt;0,players[[#This Row],[Total Goal Involvement]]/players[[#This Row],[Matches]],0)</f>
        <v>8.3333333333333329E-2</v>
      </c>
      <c r="Q487" s="3">
        <f>players[[#This Row],[Total Goal Involvement per match]]/players[[#This Row],[Markey Value In Millions(£)]]</f>
        <v>5.1440329218106996E-3</v>
      </c>
      <c r="R487">
        <v>0</v>
      </c>
      <c r="S487">
        <v>0</v>
      </c>
      <c r="T487">
        <v>0</v>
      </c>
      <c r="U487">
        <v>1</v>
      </c>
      <c r="V487">
        <v>6</v>
      </c>
    </row>
    <row r="488" spans="1:22" x14ac:dyDescent="0.25">
      <c r="A488">
        <v>486</v>
      </c>
      <c r="B488" t="s">
        <v>651</v>
      </c>
      <c r="C488" t="s">
        <v>49</v>
      </c>
      <c r="D488" t="str" cm="1">
        <f t="array" ref="D48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88">
        <v>25</v>
      </c>
      <c r="F48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88" s="2">
        <v>16.2</v>
      </c>
      <c r="H48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8" t="s">
        <v>109</v>
      </c>
      <c r="J488" t="s">
        <v>159</v>
      </c>
      <c r="K488">
        <v>9</v>
      </c>
      <c r="L488">
        <v>0</v>
      </c>
      <c r="M488">
        <v>0</v>
      </c>
      <c r="N488">
        <v>0</v>
      </c>
      <c r="O488">
        <f>players[[#This Row],[Goals]]+players[[#This Row],[Assists]]</f>
        <v>0</v>
      </c>
      <c r="P488" s="1">
        <f>IF(players[[#This Row],[Matches]]&gt;0,players[[#This Row],[Total Goal Involvement]]/players[[#This Row],[Matches]],0)</f>
        <v>0</v>
      </c>
      <c r="Q488" s="3">
        <f>players[[#This Row],[Total Goal Involvement per match]]/players[[#This Row],[Markey Value In Millions(£)]]</f>
        <v>0</v>
      </c>
      <c r="R488">
        <v>0</v>
      </c>
      <c r="S488">
        <v>0</v>
      </c>
      <c r="T488">
        <v>0</v>
      </c>
      <c r="U488">
        <v>2</v>
      </c>
      <c r="V488">
        <v>6</v>
      </c>
    </row>
    <row r="489" spans="1:22" x14ac:dyDescent="0.25">
      <c r="A489">
        <v>487</v>
      </c>
      <c r="B489" t="s">
        <v>652</v>
      </c>
      <c r="C489" t="s">
        <v>43</v>
      </c>
      <c r="D489" t="str" cm="1">
        <f t="array" ref="D48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89">
        <v>23</v>
      </c>
      <c r="F489" t="str">
        <f>IF(players[[#This Row],[Age]]&gt;34,"Veterans",IF(players[[#This Row],[Age]]&gt;29,"Experienced",IF(players[[#This Row],[Age]]&gt;23,"Career peak",IF(players[[#This Row],[Age]]&gt;19,"Young","Teenagers"))))</f>
        <v>Young</v>
      </c>
      <c r="G489" s="2">
        <v>16.2</v>
      </c>
      <c r="H48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89" t="s">
        <v>24</v>
      </c>
      <c r="J489" t="s">
        <v>138</v>
      </c>
      <c r="K489">
        <v>7</v>
      </c>
      <c r="L489">
        <v>1</v>
      </c>
      <c r="M489">
        <v>0</v>
      </c>
      <c r="N489">
        <v>1</v>
      </c>
      <c r="O489">
        <f>players[[#This Row],[Goals]]+players[[#This Row],[Assists]]</f>
        <v>2</v>
      </c>
      <c r="P489" s="1">
        <f>IF(players[[#This Row],[Matches]]&gt;0,players[[#This Row],[Total Goal Involvement]]/players[[#This Row],[Matches]],0)</f>
        <v>0.2857142857142857</v>
      </c>
      <c r="Q489" s="3">
        <f>players[[#This Row],[Total Goal Involvement per match]]/players[[#This Row],[Markey Value In Millions(£)]]</f>
        <v>1.7636684303350969E-2</v>
      </c>
      <c r="R489">
        <v>0</v>
      </c>
      <c r="S489">
        <v>0</v>
      </c>
      <c r="T489">
        <v>0</v>
      </c>
      <c r="U489">
        <v>4</v>
      </c>
      <c r="V489">
        <v>1</v>
      </c>
    </row>
    <row r="490" spans="1:22" x14ac:dyDescent="0.25">
      <c r="A490">
        <v>488</v>
      </c>
      <c r="B490" t="s">
        <v>653</v>
      </c>
      <c r="C490" t="s">
        <v>49</v>
      </c>
      <c r="D490" t="str" cm="1">
        <f t="array" ref="D49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90">
        <v>26</v>
      </c>
      <c r="F49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0" s="2">
        <v>16.2</v>
      </c>
      <c r="H49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0" t="s">
        <v>654</v>
      </c>
      <c r="J490" t="s">
        <v>655</v>
      </c>
      <c r="K490">
        <v>11</v>
      </c>
      <c r="L490">
        <v>0</v>
      </c>
      <c r="M490">
        <v>0</v>
      </c>
      <c r="N490">
        <v>0</v>
      </c>
      <c r="O490">
        <f>players[[#This Row],[Goals]]+players[[#This Row],[Assists]]</f>
        <v>0</v>
      </c>
      <c r="P490" s="1">
        <f>IF(players[[#This Row],[Matches]]&gt;0,players[[#This Row],[Total Goal Involvement]]/players[[#This Row],[Matches]],0)</f>
        <v>0</v>
      </c>
      <c r="Q490" s="3">
        <f>players[[#This Row],[Total Goal Involvement per match]]/players[[#This Row],[Markey Value In Millions(£)]]</f>
        <v>0</v>
      </c>
      <c r="R490">
        <v>5</v>
      </c>
      <c r="S490">
        <v>0</v>
      </c>
      <c r="T490">
        <v>0</v>
      </c>
      <c r="U490">
        <v>1</v>
      </c>
      <c r="V490">
        <v>7</v>
      </c>
    </row>
    <row r="491" spans="1:22" x14ac:dyDescent="0.25">
      <c r="A491">
        <v>489</v>
      </c>
      <c r="B491" t="s">
        <v>656</v>
      </c>
      <c r="C491" t="s">
        <v>99</v>
      </c>
      <c r="D491" t="str" cm="1">
        <f t="array" ref="D49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91">
        <v>26</v>
      </c>
      <c r="F49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1" s="2">
        <v>16.2</v>
      </c>
      <c r="H49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1" t="s">
        <v>59</v>
      </c>
      <c r="J491" t="s">
        <v>305</v>
      </c>
      <c r="K491">
        <v>9</v>
      </c>
      <c r="L491">
        <v>0</v>
      </c>
      <c r="M491">
        <v>0</v>
      </c>
      <c r="N491">
        <v>0</v>
      </c>
      <c r="O491">
        <f>players[[#This Row],[Goals]]+players[[#This Row],[Assists]]</f>
        <v>0</v>
      </c>
      <c r="P491" s="1">
        <f>IF(players[[#This Row],[Matches]]&gt;0,players[[#This Row],[Total Goal Involvement]]/players[[#This Row],[Matches]],0)</f>
        <v>0</v>
      </c>
      <c r="Q491" s="3">
        <f>players[[#This Row],[Total Goal Involvement per match]]/players[[#This Row],[Markey Value In Millions(£)]]</f>
        <v>0</v>
      </c>
      <c r="R491">
        <v>0</v>
      </c>
      <c r="S491">
        <v>0</v>
      </c>
      <c r="T491">
        <v>0</v>
      </c>
      <c r="U491">
        <v>0</v>
      </c>
      <c r="V491">
        <v>0</v>
      </c>
    </row>
    <row r="492" spans="1:22" x14ac:dyDescent="0.25">
      <c r="A492">
        <v>490</v>
      </c>
      <c r="B492" t="s">
        <v>657</v>
      </c>
      <c r="C492" t="s">
        <v>99</v>
      </c>
      <c r="D492" t="str" cm="1">
        <f t="array" ref="D492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92">
        <v>23</v>
      </c>
      <c r="F492" t="str">
        <f>IF(players[[#This Row],[Age]]&gt;34,"Veterans",IF(players[[#This Row],[Age]]&gt;29,"Experienced",IF(players[[#This Row],[Age]]&gt;23,"Career peak",IF(players[[#This Row],[Age]]&gt;19,"Young","Teenagers"))))</f>
        <v>Young</v>
      </c>
      <c r="G492" s="2">
        <v>16.2</v>
      </c>
      <c r="H492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2" t="s">
        <v>324</v>
      </c>
      <c r="J492" t="s">
        <v>22</v>
      </c>
      <c r="K492">
        <v>18</v>
      </c>
      <c r="L492">
        <v>0</v>
      </c>
      <c r="M492">
        <v>0</v>
      </c>
      <c r="N492">
        <v>0</v>
      </c>
      <c r="O492">
        <f>players[[#This Row],[Goals]]+players[[#This Row],[Assists]]</f>
        <v>0</v>
      </c>
      <c r="P492" s="1">
        <f>IF(players[[#This Row],[Matches]]&gt;0,players[[#This Row],[Total Goal Involvement]]/players[[#This Row],[Matches]],0)</f>
        <v>0</v>
      </c>
      <c r="Q492" s="3">
        <f>players[[#This Row],[Total Goal Involvement per match]]/players[[#This Row],[Markey Value In Millions(£)]]</f>
        <v>0</v>
      </c>
      <c r="R492">
        <v>0</v>
      </c>
      <c r="S492">
        <v>0</v>
      </c>
      <c r="T492">
        <v>0</v>
      </c>
      <c r="U492">
        <v>0</v>
      </c>
      <c r="V492">
        <v>1</v>
      </c>
    </row>
    <row r="493" spans="1:22" x14ac:dyDescent="0.25">
      <c r="A493">
        <v>491</v>
      </c>
      <c r="B493" t="s">
        <v>658</v>
      </c>
      <c r="C493" t="s">
        <v>49</v>
      </c>
      <c r="D493" t="str" cm="1">
        <f t="array" ref="D493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93">
        <v>28</v>
      </c>
      <c r="F493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3" s="2">
        <v>16.2</v>
      </c>
      <c r="H493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3" t="s">
        <v>296</v>
      </c>
      <c r="J493" t="s">
        <v>452</v>
      </c>
      <c r="K493">
        <v>16</v>
      </c>
      <c r="L493">
        <v>0</v>
      </c>
      <c r="M493">
        <v>0</v>
      </c>
      <c r="N493">
        <v>1</v>
      </c>
      <c r="O493">
        <f>players[[#This Row],[Goals]]+players[[#This Row],[Assists]]</f>
        <v>1</v>
      </c>
      <c r="P493" s="1">
        <f>IF(players[[#This Row],[Matches]]&gt;0,players[[#This Row],[Total Goal Involvement]]/players[[#This Row],[Matches]],0)</f>
        <v>6.25E-2</v>
      </c>
      <c r="Q493" s="3">
        <f>players[[#This Row],[Total Goal Involvement per match]]/players[[#This Row],[Markey Value In Millions(£)]]</f>
        <v>3.8580246913580249E-3</v>
      </c>
      <c r="R493">
        <v>2</v>
      </c>
      <c r="S493">
        <v>0</v>
      </c>
      <c r="T493">
        <v>0</v>
      </c>
      <c r="U493">
        <v>1</v>
      </c>
      <c r="V493">
        <v>4</v>
      </c>
    </row>
    <row r="494" spans="1:22" x14ac:dyDescent="0.25">
      <c r="A494">
        <v>492</v>
      </c>
      <c r="B494" t="s">
        <v>659</v>
      </c>
      <c r="C494" t="s">
        <v>30</v>
      </c>
      <c r="D494" t="str" cm="1">
        <f t="array" ref="D494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94">
        <v>26</v>
      </c>
      <c r="F494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4" s="2">
        <v>16.2</v>
      </c>
      <c r="H494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4" t="s">
        <v>47</v>
      </c>
      <c r="J494" t="s">
        <v>259</v>
      </c>
      <c r="K494">
        <v>18</v>
      </c>
      <c r="L494">
        <v>3</v>
      </c>
      <c r="M494">
        <v>0</v>
      </c>
      <c r="N494">
        <v>1</v>
      </c>
      <c r="O494">
        <f>players[[#This Row],[Goals]]+players[[#This Row],[Assists]]</f>
        <v>4</v>
      </c>
      <c r="P494" s="1">
        <f>IF(players[[#This Row],[Matches]]&gt;0,players[[#This Row],[Total Goal Involvement]]/players[[#This Row],[Matches]],0)</f>
        <v>0.22222222222222221</v>
      </c>
      <c r="Q494" s="3">
        <f>players[[#This Row],[Total Goal Involvement per match]]/players[[#This Row],[Markey Value In Millions(£)]]</f>
        <v>1.3717421124828532E-2</v>
      </c>
      <c r="R494">
        <v>0</v>
      </c>
      <c r="S494">
        <v>0</v>
      </c>
      <c r="T494">
        <v>0</v>
      </c>
      <c r="U494">
        <v>2</v>
      </c>
      <c r="V494">
        <v>16</v>
      </c>
    </row>
    <row r="495" spans="1:22" x14ac:dyDescent="0.25">
      <c r="A495">
        <v>493</v>
      </c>
      <c r="B495" t="s">
        <v>660</v>
      </c>
      <c r="C495" t="s">
        <v>71</v>
      </c>
      <c r="D495" t="str" cm="1">
        <f t="array" ref="D495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495">
        <v>26</v>
      </c>
      <c r="F495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5" s="2">
        <v>16.2</v>
      </c>
      <c r="H495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5" t="s">
        <v>24</v>
      </c>
      <c r="J495" t="s">
        <v>107</v>
      </c>
      <c r="K495">
        <v>5</v>
      </c>
      <c r="L495">
        <v>0</v>
      </c>
      <c r="M495">
        <v>0</v>
      </c>
      <c r="N495">
        <v>0</v>
      </c>
      <c r="O495">
        <f>players[[#This Row],[Goals]]+players[[#This Row],[Assists]]</f>
        <v>0</v>
      </c>
      <c r="P495" s="1">
        <f>IF(players[[#This Row],[Matches]]&gt;0,players[[#This Row],[Total Goal Involvement]]/players[[#This Row],[Matches]],0)</f>
        <v>0</v>
      </c>
      <c r="Q495" s="3">
        <f>players[[#This Row],[Total Goal Involvement per match]]/players[[#This Row],[Markey Value In Millions(£)]]</f>
        <v>0</v>
      </c>
      <c r="R495">
        <v>2</v>
      </c>
      <c r="S495">
        <v>0</v>
      </c>
      <c r="T495">
        <v>0</v>
      </c>
      <c r="U495">
        <v>0</v>
      </c>
      <c r="V495">
        <v>1</v>
      </c>
    </row>
    <row r="496" spans="1:22" x14ac:dyDescent="0.25">
      <c r="A496">
        <v>494</v>
      </c>
      <c r="B496" t="s">
        <v>661</v>
      </c>
      <c r="C496" t="s">
        <v>17</v>
      </c>
      <c r="D496" t="str" cm="1">
        <f t="array" ref="D496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96">
        <v>24</v>
      </c>
      <c r="F496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6" s="2">
        <v>16.2</v>
      </c>
      <c r="H496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6" t="s">
        <v>24</v>
      </c>
      <c r="J496" t="s">
        <v>308</v>
      </c>
      <c r="K496">
        <v>11</v>
      </c>
      <c r="L496">
        <v>2</v>
      </c>
      <c r="M496">
        <v>0</v>
      </c>
      <c r="N496">
        <v>2</v>
      </c>
      <c r="O496">
        <f>players[[#This Row],[Goals]]+players[[#This Row],[Assists]]</f>
        <v>4</v>
      </c>
      <c r="P496" s="1">
        <f>IF(players[[#This Row],[Matches]]&gt;0,players[[#This Row],[Total Goal Involvement]]/players[[#This Row],[Matches]],0)</f>
        <v>0.36363636363636365</v>
      </c>
      <c r="Q496" s="3">
        <f>players[[#This Row],[Total Goal Involvement per match]]/players[[#This Row],[Markey Value In Millions(£)]]</f>
        <v>2.2446689113355782E-2</v>
      </c>
      <c r="R496">
        <v>0</v>
      </c>
      <c r="S496">
        <v>0</v>
      </c>
      <c r="T496">
        <v>0</v>
      </c>
      <c r="U496">
        <v>1</v>
      </c>
      <c r="V496">
        <v>2</v>
      </c>
    </row>
    <row r="497" spans="1:22" x14ac:dyDescent="0.25">
      <c r="A497">
        <v>495</v>
      </c>
      <c r="B497" t="s">
        <v>662</v>
      </c>
      <c r="C497" t="s">
        <v>37</v>
      </c>
      <c r="D497" t="str" cm="1">
        <f t="array" ref="D497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Midfielders</v>
      </c>
      <c r="E497">
        <v>27</v>
      </c>
      <c r="F497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7" s="2">
        <v>16.2</v>
      </c>
      <c r="H497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7" t="s">
        <v>109</v>
      </c>
      <c r="J497" t="s">
        <v>388</v>
      </c>
      <c r="K497">
        <v>0</v>
      </c>
      <c r="L497">
        <v>0</v>
      </c>
      <c r="M497">
        <v>0</v>
      </c>
      <c r="N497">
        <v>0</v>
      </c>
      <c r="O497">
        <f>players[[#This Row],[Goals]]+players[[#This Row],[Assists]]</f>
        <v>0</v>
      </c>
      <c r="P497" s="1">
        <f>IF(players[[#This Row],[Matches]]&gt;0,players[[#This Row],[Total Goal Involvement]]/players[[#This Row],[Matches]],0)</f>
        <v>0</v>
      </c>
      <c r="Q497" s="3">
        <f>players[[#This Row],[Total Goal Involvement per match]]/players[[#This Row],[Markey Value In Millions(£)]]</f>
        <v>0</v>
      </c>
      <c r="R497">
        <v>0</v>
      </c>
      <c r="S497">
        <v>0</v>
      </c>
      <c r="T497">
        <v>0</v>
      </c>
      <c r="U497">
        <v>0</v>
      </c>
      <c r="V497">
        <v>0</v>
      </c>
    </row>
    <row r="498" spans="1:22" x14ac:dyDescent="0.25">
      <c r="A498">
        <v>496</v>
      </c>
      <c r="B498" t="s">
        <v>663</v>
      </c>
      <c r="C498" t="s">
        <v>75</v>
      </c>
      <c r="D498" t="str" cm="1">
        <f t="array" ref="D498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Forwards</v>
      </c>
      <c r="E498">
        <v>28</v>
      </c>
      <c r="F498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8" s="2">
        <v>16.2</v>
      </c>
      <c r="H498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8" t="s">
        <v>59</v>
      </c>
      <c r="J498" t="s">
        <v>124</v>
      </c>
      <c r="K498">
        <v>8</v>
      </c>
      <c r="L498">
        <v>1</v>
      </c>
      <c r="M498">
        <v>0</v>
      </c>
      <c r="N498">
        <v>3</v>
      </c>
      <c r="O498">
        <f>players[[#This Row],[Goals]]+players[[#This Row],[Assists]]</f>
        <v>4</v>
      </c>
      <c r="P498" s="1">
        <f>IF(players[[#This Row],[Matches]]&gt;0,players[[#This Row],[Total Goal Involvement]]/players[[#This Row],[Matches]],0)</f>
        <v>0.5</v>
      </c>
      <c r="Q498" s="3">
        <f>players[[#This Row],[Total Goal Involvement per match]]/players[[#This Row],[Markey Value In Millions(£)]]</f>
        <v>3.0864197530864199E-2</v>
      </c>
      <c r="R498">
        <v>0</v>
      </c>
      <c r="S498">
        <v>0</v>
      </c>
      <c r="T498">
        <v>1</v>
      </c>
      <c r="U498">
        <v>2</v>
      </c>
      <c r="V498">
        <v>5</v>
      </c>
    </row>
    <row r="499" spans="1:22" x14ac:dyDescent="0.25">
      <c r="A499">
        <v>497</v>
      </c>
      <c r="B499" t="s">
        <v>664</v>
      </c>
      <c r="C499" t="s">
        <v>99</v>
      </c>
      <c r="D499" t="str" cm="1">
        <f t="array" ref="D499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Goalkeepers</v>
      </c>
      <c r="E499">
        <v>24</v>
      </c>
      <c r="F499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499" s="2">
        <v>16.2</v>
      </c>
      <c r="H499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499" t="s">
        <v>87</v>
      </c>
      <c r="J499" t="s">
        <v>119</v>
      </c>
      <c r="K499">
        <v>5</v>
      </c>
      <c r="L499">
        <v>0</v>
      </c>
      <c r="M499">
        <v>0</v>
      </c>
      <c r="N499">
        <v>0</v>
      </c>
      <c r="O499">
        <f>players[[#This Row],[Goals]]+players[[#This Row],[Assists]]</f>
        <v>0</v>
      </c>
      <c r="P499" s="1">
        <f>IF(players[[#This Row],[Matches]]&gt;0,players[[#This Row],[Total Goal Involvement]]/players[[#This Row],[Matches]],0)</f>
        <v>0</v>
      </c>
      <c r="Q499" s="3">
        <f>players[[#This Row],[Total Goal Involvement per match]]/players[[#This Row],[Markey Value In Millions(£)]]</f>
        <v>0</v>
      </c>
      <c r="R499">
        <v>0</v>
      </c>
      <c r="S499">
        <v>0</v>
      </c>
      <c r="T499">
        <v>0</v>
      </c>
      <c r="U499">
        <v>0</v>
      </c>
      <c r="V499">
        <v>0</v>
      </c>
    </row>
    <row r="500" spans="1:22" x14ac:dyDescent="0.25">
      <c r="A500">
        <v>498</v>
      </c>
      <c r="B500" t="s">
        <v>665</v>
      </c>
      <c r="C500" t="s">
        <v>71</v>
      </c>
      <c r="D500" t="str" cm="1">
        <f t="array" ref="D500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500">
        <v>25</v>
      </c>
      <c r="F500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00" s="2">
        <v>16.2</v>
      </c>
      <c r="H500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500" t="s">
        <v>197</v>
      </c>
      <c r="J500" t="s">
        <v>358</v>
      </c>
      <c r="K500">
        <v>8</v>
      </c>
      <c r="L500">
        <v>0</v>
      </c>
      <c r="M500">
        <v>0</v>
      </c>
      <c r="N500">
        <v>0</v>
      </c>
      <c r="O500">
        <f>players[[#This Row],[Goals]]+players[[#This Row],[Assists]]</f>
        <v>0</v>
      </c>
      <c r="P500" s="1">
        <f>IF(players[[#This Row],[Matches]]&gt;0,players[[#This Row],[Total Goal Involvement]]/players[[#This Row],[Matches]],0)</f>
        <v>0</v>
      </c>
      <c r="Q500" s="3">
        <f>players[[#This Row],[Total Goal Involvement per match]]/players[[#This Row],[Markey Value In Millions(£)]]</f>
        <v>0</v>
      </c>
      <c r="R500">
        <v>2</v>
      </c>
      <c r="S500">
        <v>0</v>
      </c>
      <c r="T500">
        <v>0</v>
      </c>
      <c r="U500">
        <v>0</v>
      </c>
      <c r="V500">
        <v>2</v>
      </c>
    </row>
    <row r="501" spans="1:22" x14ac:dyDescent="0.25">
      <c r="A501">
        <v>499</v>
      </c>
      <c r="B501" t="s">
        <v>666</v>
      </c>
      <c r="C501" t="s">
        <v>71</v>
      </c>
      <c r="D501" t="str" cm="1">
        <f t="array" ref="D501">_xlfn.IFS(players[[#This Row],[Position]]="Centre-Forward","Forwards",players[[#This Row],[Position]]="Right Winger","Forwards",players[[#This Row],[Position]]="Left Winger","Forwards",players[[#This Row],[Position]]="Central Midfield","Midfielders",players[[#This Row],[Position]]="Attacking Midfield","Midfielders",players[[#This Row],[Position]]="Defensive Midfield","Midfielders",players[[#This Row],[Position]]="Left-Back","Defenders",players[[#This Row],[Position]]="Right-Back","Defenders",players[[#This Row],[Position]]="Centre-Back","Defenders",players[[#This Row],[Position]]="Second Striker","Forwards",players[[#This Row],[Position]]="Goalkeeper","Goalkeepers",players[[#This Row],[Position]]="Left Midfield","Midfielders",players[[#This Row],[Position]]="Right Midfield","Midfielders")</f>
        <v>Defenders</v>
      </c>
      <c r="E501">
        <v>27</v>
      </c>
      <c r="F501" t="str">
        <f>IF(players[[#This Row],[Age]]&gt;34,"Veterans",IF(players[[#This Row],[Age]]&gt;29,"Experienced",IF(players[[#This Row],[Age]]&gt;23,"Career peak",IF(players[[#This Row],[Age]]&gt;19,"Young","Teenagers"))))</f>
        <v>Career peak</v>
      </c>
      <c r="G501" s="2">
        <v>16.2</v>
      </c>
      <c r="H501" s="2" t="str">
        <f>IF(players[[#This Row],[Markey Value In Millions(£)]]&gt;89,"Enormous Price",IF(players[[#This Row],[Markey Value In Millions(£)]]&gt;54,"High Price",IF(players[[#This Row],[Markey Value In Millions(£)]]&gt;19,"Middle Price","Low Price")))</f>
        <v>Low Price</v>
      </c>
      <c r="I501" t="s">
        <v>59</v>
      </c>
      <c r="J501" t="s">
        <v>85</v>
      </c>
      <c r="K501">
        <v>15</v>
      </c>
      <c r="L501">
        <v>3</v>
      </c>
      <c r="M501">
        <v>0</v>
      </c>
      <c r="N501">
        <v>1</v>
      </c>
      <c r="O501">
        <f>players[[#This Row],[Goals]]+players[[#This Row],[Assists]]</f>
        <v>4</v>
      </c>
      <c r="P501" s="1">
        <f>IF(players[[#This Row],[Matches]]&gt;0,players[[#This Row],[Total Goal Involvement]]/players[[#This Row],[Matches]],0)</f>
        <v>0.26666666666666666</v>
      </c>
      <c r="Q501" s="3">
        <f>players[[#This Row],[Total Goal Involvement per match]]/players[[#This Row],[Markey Value In Millions(£)]]</f>
        <v>1.646090534979424E-2</v>
      </c>
      <c r="R501">
        <v>4</v>
      </c>
      <c r="S501">
        <v>0</v>
      </c>
      <c r="T501">
        <v>0</v>
      </c>
      <c r="U501">
        <v>1</v>
      </c>
      <c r="V501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ECAE-722C-40DF-9386-4895132DF00E}">
  <dimension ref="A3:M55"/>
  <sheetViews>
    <sheetView topLeftCell="A11" zoomScale="70" zoomScaleNormal="70" workbookViewId="0">
      <selection activeCell="A44" sqref="A43:B45"/>
    </sheetView>
  </sheetViews>
  <sheetFormatPr defaultRowHeight="15" x14ac:dyDescent="0.25"/>
  <cols>
    <col min="1" max="1" width="19.5703125" bestFit="1" customWidth="1"/>
    <col min="2" max="2" width="19" bestFit="1" customWidth="1"/>
    <col min="3" max="3" width="9.42578125" bestFit="1" customWidth="1"/>
    <col min="4" max="4" width="9.85546875" bestFit="1" customWidth="1"/>
    <col min="5" max="5" width="19.7109375" bestFit="1" customWidth="1"/>
    <col min="6" max="6" width="28.7109375" bestFit="1" customWidth="1"/>
    <col min="7" max="7" width="14.85546875" bestFit="1" customWidth="1"/>
    <col min="8" max="8" width="13.28515625" bestFit="1" customWidth="1"/>
    <col min="9" max="9" width="21.42578125" bestFit="1" customWidth="1"/>
    <col min="10" max="10" width="38.42578125" bestFit="1" customWidth="1"/>
    <col min="11" max="11" width="10.5703125" bestFit="1" customWidth="1"/>
    <col min="12" max="12" width="19.5703125" bestFit="1" customWidth="1"/>
    <col min="13" max="13" width="27.85546875" bestFit="1" customWidth="1"/>
    <col min="14" max="14" width="13.28515625" bestFit="1" customWidth="1"/>
    <col min="15" max="15" width="14.85546875" bestFit="1" customWidth="1"/>
    <col min="16" max="16" width="11.140625" bestFit="1" customWidth="1"/>
    <col min="17" max="17" width="16.5703125" bestFit="1" customWidth="1"/>
    <col min="18" max="18" width="15.5703125" bestFit="1" customWidth="1"/>
    <col min="19" max="19" width="14.7109375" bestFit="1" customWidth="1"/>
    <col min="20" max="20" width="13.5703125" bestFit="1" customWidth="1"/>
    <col min="21" max="21" width="11.5703125" bestFit="1" customWidth="1"/>
    <col min="22" max="22" width="15.28515625" bestFit="1" customWidth="1"/>
    <col min="23" max="23" width="19.5703125" bestFit="1" customWidth="1"/>
  </cols>
  <sheetData>
    <row r="3" spans="3:10" x14ac:dyDescent="0.25">
      <c r="E3" s="4" t="s">
        <v>672</v>
      </c>
      <c r="F3" t="s">
        <v>674</v>
      </c>
      <c r="I3" s="4" t="s">
        <v>672</v>
      </c>
      <c r="J3" t="s">
        <v>671</v>
      </c>
    </row>
    <row r="4" spans="3:10" x14ac:dyDescent="0.25">
      <c r="C4" s="2"/>
      <c r="E4" s="5" t="s">
        <v>681</v>
      </c>
      <c r="F4" s="7">
        <v>0.34399999999999997</v>
      </c>
      <c r="I4" s="5" t="s">
        <v>16</v>
      </c>
      <c r="J4" s="2">
        <v>144</v>
      </c>
    </row>
    <row r="5" spans="3:10" x14ac:dyDescent="0.25">
      <c r="C5" s="2"/>
      <c r="E5" s="5" t="s">
        <v>682</v>
      </c>
      <c r="F5" s="7">
        <v>0.33800000000000002</v>
      </c>
      <c r="I5" s="6">
        <v>22</v>
      </c>
      <c r="J5" s="2">
        <v>144</v>
      </c>
    </row>
    <row r="6" spans="3:10" x14ac:dyDescent="0.25">
      <c r="C6" s="2"/>
      <c r="E6" s="5" t="s">
        <v>683</v>
      </c>
      <c r="F6" s="7">
        <v>0.28000000000000003</v>
      </c>
      <c r="I6" s="5" t="s">
        <v>20</v>
      </c>
      <c r="J6" s="2">
        <v>135</v>
      </c>
    </row>
    <row r="7" spans="3:10" x14ac:dyDescent="0.25">
      <c r="C7" s="2"/>
      <c r="E7" s="5" t="s">
        <v>684</v>
      </c>
      <c r="F7" s="7">
        <v>3.7999999999999999E-2</v>
      </c>
      <c r="I7" s="6">
        <v>21</v>
      </c>
      <c r="J7" s="2">
        <v>135</v>
      </c>
    </row>
    <row r="8" spans="3:10" x14ac:dyDescent="0.25">
      <c r="C8" s="2"/>
      <c r="E8" s="5" t="s">
        <v>673</v>
      </c>
      <c r="F8" s="7">
        <v>1</v>
      </c>
      <c r="I8" s="5" t="s">
        <v>23</v>
      </c>
      <c r="J8" s="2">
        <v>108</v>
      </c>
    </row>
    <row r="9" spans="3:10" x14ac:dyDescent="0.25">
      <c r="C9" s="2"/>
      <c r="I9" s="6">
        <v>28</v>
      </c>
      <c r="J9" s="2">
        <v>108</v>
      </c>
    </row>
    <row r="10" spans="3:10" x14ac:dyDescent="0.25">
      <c r="C10" s="2"/>
      <c r="I10" s="5" t="s">
        <v>673</v>
      </c>
      <c r="J10" s="2">
        <v>387</v>
      </c>
    </row>
    <row r="21" spans="1:13" x14ac:dyDescent="0.25">
      <c r="A21" s="4" t="s">
        <v>672</v>
      </c>
      <c r="B21" t="s">
        <v>674</v>
      </c>
      <c r="E21" s="4" t="s">
        <v>672</v>
      </c>
      <c r="F21" t="s">
        <v>674</v>
      </c>
      <c r="I21" s="4" t="s">
        <v>672</v>
      </c>
      <c r="J21" t="s">
        <v>688</v>
      </c>
      <c r="L21" s="4" t="s">
        <v>672</v>
      </c>
      <c r="M21" t="s">
        <v>689</v>
      </c>
    </row>
    <row r="22" spans="1:13" x14ac:dyDescent="0.25">
      <c r="A22" s="5" t="s">
        <v>679</v>
      </c>
      <c r="B22" s="7">
        <v>0.67200000000000004</v>
      </c>
      <c r="E22" s="5" t="s">
        <v>24</v>
      </c>
      <c r="F22">
        <v>67</v>
      </c>
      <c r="I22" s="5" t="s">
        <v>20</v>
      </c>
      <c r="J22" s="1">
        <v>1.7</v>
      </c>
      <c r="L22" s="5" t="s">
        <v>621</v>
      </c>
      <c r="M22" s="3">
        <v>9.2592592592592601E-2</v>
      </c>
    </row>
    <row r="23" spans="1:13" x14ac:dyDescent="0.25">
      <c r="A23" s="5" t="s">
        <v>678</v>
      </c>
      <c r="B23" s="7">
        <v>0.23200000000000001</v>
      </c>
      <c r="E23" s="5" t="s">
        <v>18</v>
      </c>
      <c r="F23">
        <v>58</v>
      </c>
      <c r="I23" s="5" t="s">
        <v>621</v>
      </c>
      <c r="J23" s="1">
        <v>1.5</v>
      </c>
      <c r="L23" s="5" t="s">
        <v>533</v>
      </c>
      <c r="M23" s="3">
        <v>7.2916666666666671E-2</v>
      </c>
    </row>
    <row r="24" spans="1:13" x14ac:dyDescent="0.25">
      <c r="A24" s="5" t="s">
        <v>677</v>
      </c>
      <c r="B24" s="7">
        <v>0.08</v>
      </c>
      <c r="C24" s="7"/>
      <c r="E24" s="5" t="s">
        <v>59</v>
      </c>
      <c r="F24">
        <v>52</v>
      </c>
      <c r="I24" s="5" t="s">
        <v>134</v>
      </c>
      <c r="J24" s="1">
        <v>1.4705882352941178</v>
      </c>
      <c r="L24" s="5" t="s">
        <v>471</v>
      </c>
      <c r="M24" s="3">
        <v>6.5185185185185179E-2</v>
      </c>
    </row>
    <row r="25" spans="1:13" x14ac:dyDescent="0.25">
      <c r="A25" s="5" t="s">
        <v>676</v>
      </c>
      <c r="B25" s="7">
        <v>1.6E-2</v>
      </c>
      <c r="C25" s="7"/>
      <c r="E25" s="5" t="s">
        <v>39</v>
      </c>
      <c r="F25">
        <v>41</v>
      </c>
      <c r="I25" s="5" t="s">
        <v>471</v>
      </c>
      <c r="J25" s="1">
        <v>1.4666666666666666</v>
      </c>
      <c r="L25" s="5" t="s">
        <v>643</v>
      </c>
      <c r="M25" s="3">
        <v>5.3497942386831282E-2</v>
      </c>
    </row>
    <row r="26" spans="1:13" x14ac:dyDescent="0.25">
      <c r="A26" s="5" t="s">
        <v>673</v>
      </c>
      <c r="B26" s="7">
        <v>1</v>
      </c>
      <c r="C26" s="7"/>
      <c r="E26" s="5" t="s">
        <v>50</v>
      </c>
      <c r="F26">
        <v>29</v>
      </c>
      <c r="I26" s="5" t="s">
        <v>29</v>
      </c>
      <c r="J26" s="1">
        <v>1.4</v>
      </c>
      <c r="L26" s="5" t="s">
        <v>589</v>
      </c>
      <c r="M26" s="3">
        <v>4.6296296296296301E-2</v>
      </c>
    </row>
    <row r="27" spans="1:13" x14ac:dyDescent="0.25">
      <c r="E27" s="5" t="s">
        <v>47</v>
      </c>
      <c r="F27">
        <v>26</v>
      </c>
      <c r="I27" s="5" t="s">
        <v>533</v>
      </c>
      <c r="J27" s="1">
        <v>1.3125</v>
      </c>
      <c r="L27" s="5" t="s">
        <v>382</v>
      </c>
      <c r="M27" s="3">
        <v>4.5993706124425077E-2</v>
      </c>
    </row>
    <row r="28" spans="1:13" x14ac:dyDescent="0.25">
      <c r="E28" s="5" t="s">
        <v>87</v>
      </c>
      <c r="F28">
        <v>26</v>
      </c>
      <c r="I28" s="5" t="s">
        <v>16</v>
      </c>
      <c r="J28" s="1">
        <v>1.125</v>
      </c>
      <c r="L28" s="5" t="s">
        <v>543</v>
      </c>
      <c r="M28" s="3">
        <v>4.2929292929292928E-2</v>
      </c>
    </row>
    <row r="29" spans="1:13" x14ac:dyDescent="0.25">
      <c r="E29" s="5" t="s">
        <v>62</v>
      </c>
      <c r="F29">
        <v>22</v>
      </c>
      <c r="I29" s="5" t="s">
        <v>382</v>
      </c>
      <c r="J29" s="1">
        <v>1.1176470588235294</v>
      </c>
      <c r="L29" s="5" t="s">
        <v>539</v>
      </c>
      <c r="M29" s="3">
        <v>4.2735042735042736E-2</v>
      </c>
    </row>
    <row r="30" spans="1:13" x14ac:dyDescent="0.25">
      <c r="E30" s="5" t="s">
        <v>44</v>
      </c>
      <c r="F30">
        <v>17</v>
      </c>
      <c r="I30" s="5" t="s">
        <v>176</v>
      </c>
      <c r="J30" s="1">
        <v>1.0588235294117647</v>
      </c>
      <c r="L30" s="5" t="s">
        <v>492</v>
      </c>
      <c r="M30" s="3">
        <v>3.9872408293460927E-2</v>
      </c>
    </row>
    <row r="31" spans="1:13" x14ac:dyDescent="0.25">
      <c r="E31" s="5" t="s">
        <v>34</v>
      </c>
      <c r="F31">
        <v>14</v>
      </c>
      <c r="I31" s="5" t="s">
        <v>157</v>
      </c>
      <c r="J31" s="1">
        <v>1</v>
      </c>
      <c r="L31" s="5" t="s">
        <v>484</v>
      </c>
      <c r="M31" s="3">
        <v>3.716090672612412E-2</v>
      </c>
    </row>
    <row r="32" spans="1:13" x14ac:dyDescent="0.25">
      <c r="C32" s="7"/>
      <c r="E32" s="5" t="s">
        <v>673</v>
      </c>
      <c r="F32">
        <v>352</v>
      </c>
      <c r="I32" s="5" t="s">
        <v>158</v>
      </c>
      <c r="J32" s="1">
        <v>1</v>
      </c>
      <c r="L32" s="5" t="s">
        <v>673</v>
      </c>
      <c r="M32" s="3">
        <v>0.53918003993591779</v>
      </c>
    </row>
    <row r="33" spans="1:10" x14ac:dyDescent="0.25">
      <c r="C33" s="7"/>
      <c r="I33" s="5" t="s">
        <v>352</v>
      </c>
      <c r="J33" s="1">
        <v>1</v>
      </c>
    </row>
    <row r="34" spans="1:10" x14ac:dyDescent="0.25">
      <c r="C34" s="7"/>
      <c r="I34" s="5" t="s">
        <v>186</v>
      </c>
      <c r="J34" s="1">
        <v>1</v>
      </c>
    </row>
    <row r="35" spans="1:10" x14ac:dyDescent="0.25">
      <c r="C35" s="7"/>
      <c r="I35" s="5" t="s">
        <v>103</v>
      </c>
      <c r="J35" s="1">
        <v>1</v>
      </c>
    </row>
    <row r="36" spans="1:10" x14ac:dyDescent="0.25">
      <c r="C36" s="7"/>
      <c r="I36" s="5" t="s">
        <v>129</v>
      </c>
      <c r="J36" s="1">
        <v>1</v>
      </c>
    </row>
    <row r="37" spans="1:10" x14ac:dyDescent="0.25">
      <c r="I37" s="5" t="s">
        <v>673</v>
      </c>
      <c r="J37" s="1">
        <v>18.151225490196079</v>
      </c>
    </row>
    <row r="43" spans="1:10" x14ac:dyDescent="0.25">
      <c r="A43" s="4" t="s">
        <v>672</v>
      </c>
      <c r="B43" t="s">
        <v>674</v>
      </c>
      <c r="E43" s="4" t="s">
        <v>672</v>
      </c>
      <c r="F43" t="s">
        <v>687</v>
      </c>
    </row>
    <row r="44" spans="1:10" x14ac:dyDescent="0.25">
      <c r="A44" s="5" t="s">
        <v>681</v>
      </c>
      <c r="B44" s="7">
        <v>0.34399999999999997</v>
      </c>
      <c r="E44" s="5" t="s">
        <v>134</v>
      </c>
      <c r="F44">
        <v>25</v>
      </c>
    </row>
    <row r="45" spans="1:10" x14ac:dyDescent="0.25">
      <c r="A45" s="5" t="s">
        <v>682</v>
      </c>
      <c r="B45" s="7">
        <v>0.33800000000000002</v>
      </c>
      <c r="E45" s="5" t="s">
        <v>471</v>
      </c>
      <c r="F45">
        <v>22</v>
      </c>
    </row>
    <row r="46" spans="1:10" x14ac:dyDescent="0.25">
      <c r="A46" s="5" t="s">
        <v>683</v>
      </c>
      <c r="B46" s="7">
        <v>0.28000000000000003</v>
      </c>
      <c r="E46" s="5" t="s">
        <v>533</v>
      </c>
      <c r="F46">
        <v>21</v>
      </c>
    </row>
    <row r="47" spans="1:10" x14ac:dyDescent="0.25">
      <c r="A47" s="5" t="s">
        <v>684</v>
      </c>
      <c r="B47" s="7">
        <v>3.7999999999999999E-2</v>
      </c>
      <c r="E47" s="5" t="s">
        <v>29</v>
      </c>
      <c r="F47">
        <v>21</v>
      </c>
    </row>
    <row r="48" spans="1:10" x14ac:dyDescent="0.25">
      <c r="A48" s="5" t="s">
        <v>673</v>
      </c>
      <c r="B48" s="7">
        <v>1</v>
      </c>
      <c r="E48" s="5" t="s">
        <v>382</v>
      </c>
      <c r="F48">
        <v>19</v>
      </c>
    </row>
    <row r="49" spans="5:6" x14ac:dyDescent="0.25">
      <c r="E49" s="5" t="s">
        <v>129</v>
      </c>
      <c r="F49">
        <v>18</v>
      </c>
    </row>
    <row r="50" spans="5:6" x14ac:dyDescent="0.25">
      <c r="E50" s="5" t="s">
        <v>352</v>
      </c>
      <c r="F50">
        <v>18</v>
      </c>
    </row>
    <row r="51" spans="5:6" x14ac:dyDescent="0.25">
      <c r="E51" s="5" t="s">
        <v>176</v>
      </c>
      <c r="F51">
        <v>18</v>
      </c>
    </row>
    <row r="52" spans="5:6" x14ac:dyDescent="0.25">
      <c r="E52" s="5" t="s">
        <v>16</v>
      </c>
      <c r="F52">
        <v>18</v>
      </c>
    </row>
    <row r="53" spans="5:6" x14ac:dyDescent="0.25">
      <c r="E53" s="5" t="s">
        <v>20</v>
      </c>
      <c r="F53">
        <v>17</v>
      </c>
    </row>
    <row r="54" spans="5:6" x14ac:dyDescent="0.25">
      <c r="E54" s="5" t="s">
        <v>543</v>
      </c>
      <c r="F54">
        <v>17</v>
      </c>
    </row>
    <row r="55" spans="5:6" x14ac:dyDescent="0.25">
      <c r="E55" s="5" t="s">
        <v>673</v>
      </c>
      <c r="F55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24F2-96BE-4FA0-8FF9-962B16B37EBA}">
  <dimension ref="A3:A8"/>
  <sheetViews>
    <sheetView workbookViewId="0">
      <selection activeCell="A4" sqref="A4"/>
    </sheetView>
  </sheetViews>
  <sheetFormatPr defaultRowHeight="15" x14ac:dyDescent="0.25"/>
  <cols>
    <col min="1" max="1" width="36.28515625" bestFit="1" customWidth="1"/>
    <col min="2" max="2" width="32.7109375" bestFit="1" customWidth="1"/>
  </cols>
  <sheetData>
    <row r="3" spans="1:1" x14ac:dyDescent="0.25">
      <c r="A3" t="s">
        <v>685</v>
      </c>
    </row>
    <row r="4" spans="1:1" x14ac:dyDescent="0.25">
      <c r="A4" s="2">
        <v>31.537800000000011</v>
      </c>
    </row>
    <row r="7" spans="1:1" x14ac:dyDescent="0.25">
      <c r="A7" t="s">
        <v>686</v>
      </c>
    </row>
    <row r="8" spans="1:1" x14ac:dyDescent="0.25">
      <c r="A8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CD9B8-0B71-444E-B79E-8D86D83E5780}">
  <dimension ref="A1:AC35"/>
  <sheetViews>
    <sheetView tabSelected="1" zoomScale="85" zoomScaleNormal="85" workbookViewId="0"/>
  </sheetViews>
  <sheetFormatPr defaultRowHeight="15" x14ac:dyDescent="0.25"/>
  <cols>
    <col min="1" max="16384" width="9.140625" style="8"/>
  </cols>
  <sheetData>
    <row r="1" spans="1:29" x14ac:dyDescent="0.25">
      <c r="A1" s="9" t="str">
        <f>"Number of footballers: "&amp;GETPIVOTDATA("Markey Value In Millions(£)",kpi!$A$7)</f>
        <v>Number of footballers: 500</v>
      </c>
      <c r="B1" s="9" t="str">
        <f>"Number of footballers: "&amp;ROUND(GETPIVOTDATA("Markey Value In Millions(£)",kpi!$A$3),1)&amp;" million"</f>
        <v>Number of footballers: 31,5 million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6.5" x14ac:dyDescent="0.3">
      <c r="A6" s="9"/>
      <c r="B6" s="9"/>
      <c r="C6" s="10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spans="1:29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 spans="1:29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 spans="1:29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spans="1:29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spans="1:29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spans="1:29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spans="1:29" x14ac:dyDescent="0.2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spans="1:29" x14ac:dyDescent="0.2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spans="1:29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 spans="1:29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 spans="1:29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 spans="1:29" x14ac:dyDescent="0.2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 spans="1:29" x14ac:dyDescent="0.2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 spans="1:29" x14ac:dyDescent="0.2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 spans="1:29" x14ac:dyDescent="0.2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 spans="1:29" x14ac:dyDescent="0.2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 spans="1:29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 spans="1:29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 spans="1:29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 spans="1:29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 spans="1:29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 spans="1:29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 spans="1:29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 spans="1:29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 spans="1:29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 spans="1:29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</sheetData>
  <sheetProtection algorithmName="SHA-512" hashValue="La4AcbqoLiip/25bKzLRW2GXeI0LOD2+BBtnYuwX0+h+VzAZHSPHxFquWnjXr9uUbFI0lniihYvrMSATYqnu7w==" saltValue="sd90Mbb7xtKWpCVgpwCp/Q==" spinCount="100000" sheet="1" objects="1" scenarios="1" selectLockedCells="1" pivotTables="0" selectUnlockedCells="1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0F8480-5873-4D01-B9F3-A8122F92A5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4</vt:i4>
      </vt:variant>
    </vt:vector>
  </HeadingPairs>
  <TitlesOfParts>
    <vt:vector size="4" baseType="lpstr">
      <vt:lpstr>players</vt:lpstr>
      <vt:lpstr>pivot tables</vt:lpstr>
      <vt:lpstr>kpi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</dc:creator>
  <cp:lastModifiedBy>Тарас Сусак</cp:lastModifiedBy>
  <dcterms:created xsi:type="dcterms:W3CDTF">2015-06-05T18:19:34Z</dcterms:created>
  <dcterms:modified xsi:type="dcterms:W3CDTF">2026-03-09T18:17:14Z</dcterms:modified>
</cp:coreProperties>
</file>